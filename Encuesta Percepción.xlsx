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pivotCache/pivotCacheDefinition18.xml" ContentType="application/vnd.openxmlformats-officedocument.spreadsheetml.pivotCacheDefinition+xml"/>
  <Override PartName="/xl/pivotCache/pivotCacheRecords18.xml" ContentType="application/vnd.openxmlformats-officedocument.spreadsheetml.pivotCacheRecords+xml"/>
  <Override PartName="/xl/pivotCache/pivotCacheDefinition19.xml" ContentType="application/vnd.openxmlformats-officedocument.spreadsheetml.pivotCacheDefinition+xml"/>
  <Override PartName="/xl/pivotCache/pivotCacheRecords19.xml" ContentType="application/vnd.openxmlformats-officedocument.spreadsheetml.pivotCacheRecords+xml"/>
  <Override PartName="/xl/pivotCache/pivotCacheDefinition20.xml" ContentType="application/vnd.openxmlformats-officedocument.spreadsheetml.pivotCacheDefinition+xml"/>
  <Override PartName="/xl/pivotCache/pivotCacheRecords20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unaledu-my.sharepoint.com/personal/varaujo_unal_edu_co/Documents/Catedra ciudadania/"/>
    </mc:Choice>
  </mc:AlternateContent>
  <xr:revisionPtr revIDLastSave="272" documentId="11_A062F7A658D91173580B8793764E41BB8CD76967" xr6:coauthVersionLast="47" xr6:coauthVersionMax="47" xr10:uidLastSave="{3DBA1C99-4931-4C53-B09F-0B37AECBA465}"/>
  <bookViews>
    <workbookView xWindow="-108" yWindow="-108" windowWidth="23256" windowHeight="12456" activeTab="6" xr2:uid="{00000000-000D-0000-FFFF-FFFF00000000}"/>
  </bookViews>
  <sheets>
    <sheet name="Form Responses 1" sheetId="1" r:id="rId1"/>
    <sheet name="Hoja7" sheetId="8" r:id="rId2"/>
    <sheet name="Hoja2" sheetId="3" r:id="rId3"/>
    <sheet name="Hoja1" sheetId="2" r:id="rId4"/>
    <sheet name="Detail1" sheetId="9" r:id="rId5"/>
    <sheet name="Detail2" sheetId="10" r:id="rId6"/>
    <sheet name="Graficas" sheetId="7" r:id="rId7"/>
  </sheets>
  <externalReferences>
    <externalReference r:id="rId8"/>
    <externalReference r:id="rId9"/>
  </externalReferences>
  <calcPr calcId="191029"/>
  <pivotCaches>
    <pivotCache cacheId="4" r:id="rId10"/>
    <pivotCache cacheId="5" r:id="rId11"/>
    <pivotCache cacheId="6" r:id="rId12"/>
    <pivotCache cacheId="7" r:id="rId13"/>
    <pivotCache cacheId="8" r:id="rId14"/>
    <pivotCache cacheId="9" r:id="rId15"/>
    <pivotCache cacheId="10" r:id="rId16"/>
    <pivotCache cacheId="11" r:id="rId17"/>
    <pivotCache cacheId="12" r:id="rId18"/>
    <pivotCache cacheId="13" r:id="rId19"/>
    <pivotCache cacheId="14" r:id="rId20"/>
    <pivotCache cacheId="15" r:id="rId21"/>
    <pivotCache cacheId="16" r:id="rId22"/>
    <pivotCache cacheId="17" r:id="rId23"/>
    <pivotCache cacheId="18" r:id="rId24"/>
    <pivotCache cacheId="19" r:id="rId25"/>
    <pivotCache cacheId="20" r:id="rId26"/>
    <pivotCache cacheId="21" r:id="rId27"/>
    <pivotCache cacheId="22" r:id="rId28"/>
    <pivotCache cacheId="23" r:id="rId2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8" l="1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2" i="8"/>
</calcChain>
</file>

<file path=xl/sharedStrings.xml><?xml version="1.0" encoding="utf-8"?>
<sst xmlns="http://schemas.openxmlformats.org/spreadsheetml/2006/main" count="2337" uniqueCount="303">
  <si>
    <t>Timestamp</t>
  </si>
  <si>
    <t>Fecha</t>
  </si>
  <si>
    <t>Mencione su lugar de residencia donde haya permanecido por lo menos 5 años:</t>
  </si>
  <si>
    <t>En qué área ha residido:</t>
  </si>
  <si>
    <t>Ocupación:</t>
  </si>
  <si>
    <t>Nivel educativo:</t>
  </si>
  <si>
    <t>Género:</t>
  </si>
  <si>
    <t>Edad:</t>
  </si>
  <si>
    <t>Grupo étnico:</t>
  </si>
  <si>
    <t>1. ¿Sabe usted qué es cambio climático?</t>
  </si>
  <si>
    <t>Para usted: ¿Qué es el cambio climático?</t>
  </si>
  <si>
    <t>2. ¿Usted tiene conocimiento de proyectos o actividades que se hayan realizado sobre
cambio climático en su municipio?</t>
  </si>
  <si>
    <t>¿Cuáles proyectos o actividades?</t>
  </si>
  <si>
    <t>3. ¿Ha participado en talleres, seminarios, reuniones o conversatorios donde se hayan
tratado temas relacionados con el cambio climático?</t>
  </si>
  <si>
    <t>4. ¿Qué nivel de acceso tiene a la información sobre el cambio climático y su impacto?</t>
  </si>
  <si>
    <t>5. ¿Sabe usted qué es adaptación al cambio climático?</t>
  </si>
  <si>
    <t>Para usted: ¿Qué es la adaptación al cambio climático?</t>
  </si>
  <si>
    <t>6. ¿Cómo prefiere recibir información sobre temas de cambio climático y estrategias
de adaptación?</t>
  </si>
  <si>
    <t>7. ¿Conoce si se ha implementado alguna actividad de adaptación al cambio climático
en su municipio?</t>
  </si>
  <si>
    <t>¿Cuáles actividades de adaptación climática se han implementado?</t>
  </si>
  <si>
    <t>8. ¿Usted ha participado en actividades para adaptar su municipio al cambio climático?</t>
  </si>
  <si>
    <t>¿Cuáles actividades?</t>
  </si>
  <si>
    <t>9. ¿ Usted conoce si existen documentos sobre estrategias de adaptación al cambio
climático en su municipio?</t>
  </si>
  <si>
    <t>¿Cuáles documentos de adaptación climática conocen?</t>
  </si>
  <si>
    <t>10. ¿Usted identifica instituciones u organizaciones que desarrollen actividades de
adaptación al cambio climático en su municipio?</t>
  </si>
  <si>
    <t>Si la respuesta a esta pregunta es afirmativa ¿cuáles instituciones conoce?</t>
  </si>
  <si>
    <t>11. Usted considera que las lluvias en su municipio han:</t>
  </si>
  <si>
    <t>12. Usted considera que la temperatura en su municipio ha:</t>
  </si>
  <si>
    <t>13. Usted considera que las olas de calor en su municipio han:</t>
  </si>
  <si>
    <t>14. ¿Se ha visto afectado(a) por desastres de orden climático en su municipio?</t>
  </si>
  <si>
    <t>¿Cuáles desastres climáticos?</t>
  </si>
  <si>
    <t>15. ¿Usted considera que a futuro puede ser afectado(a) por desastres de orden
climático?</t>
  </si>
  <si>
    <t>16. ¿Qué actividades recomendaría para prevenir o proteger a la comunidad de los
desastres climáticos en su municipio?</t>
  </si>
  <si>
    <t>17. ¿Cuáles son las actividades o prácticas de su comunidad qué cree que podrían
contribuir a la adaptación al cambio climático?</t>
  </si>
  <si>
    <t>18. De las siguientes opciones, ¿cuáles cree que son las TRES principales consecuencias del cambio climático que ya afectan a nuestra comunidad? (Marque 3)</t>
  </si>
  <si>
    <t>19. En su hogar, ¿han tenido que hacer algún cambio o adaptación para enfrentar problemas como la escasez de agua, el calor extremo o las lluvias intensas?</t>
  </si>
  <si>
    <t xml:space="preserve">Si respondió "Sí" en la pregunta anterior, ¿podría mencionar algunas de esas adaptaciones? </t>
  </si>
  <si>
    <t xml:space="preserve">20. En  una escala del 1 al 5, donde 1 es "Nada preparada" y 5 "Muy preparada". ¿qué tan preparada cree que está nuestra comunidad para enfrentar los impactos del cambio climático? </t>
  </si>
  <si>
    <t>Urbana</t>
  </si>
  <si>
    <t>Estudiante</t>
  </si>
  <si>
    <t>Pregrado</t>
  </si>
  <si>
    <t>Femenino</t>
  </si>
  <si>
    <t>26 - 35 años</t>
  </si>
  <si>
    <t>Ninguno</t>
  </si>
  <si>
    <t>Sí</t>
  </si>
  <si>
    <t>cambios a largo plazo de las temperaturas y los patrones climáticos</t>
  </si>
  <si>
    <t>No</t>
  </si>
  <si>
    <t>Fácil acceso a información detallada.</t>
  </si>
  <si>
    <t>Artículos científicos.</t>
  </si>
  <si>
    <t>Disminuido</t>
  </si>
  <si>
    <t>Aumentado</t>
  </si>
  <si>
    <t>Inundaciones</t>
  </si>
  <si>
    <t xml:space="preserve">Sembrar mas árboles, disminución del uso de energía </t>
  </si>
  <si>
    <t>No sabe</t>
  </si>
  <si>
    <t>Modificación de los ecosistemas., Pérdida de la biodiversidad., Inundaciones incontroladas por lluvias.</t>
  </si>
  <si>
    <t>Comerciante</t>
  </si>
  <si>
    <t>Tecnólogo</t>
  </si>
  <si>
    <t>15 - 25 años</t>
  </si>
  <si>
    <t>Negro, Afrocolombiano, Raizal y Palenquero.</t>
  </si>
  <si>
    <t xml:space="preserve">Es la alteración del clima de manera agresiva y brusca por factores como la contaminación en el medio ambiente o las prácticas del sel humano. </t>
  </si>
  <si>
    <t>La adaptación al cambio climático se refiere a las acciones y estrategias que las comunidades  implementan para ajustarse a los efectos del cambio climático.</t>
  </si>
  <si>
    <t>A través de redes sociales.</t>
  </si>
  <si>
    <t xml:space="preserve">Realizar charlas, talleres y campañas en colegios, barrios y veredas sobre riesgos climáticos y cómo actuar en caso de emergencias.
</t>
  </si>
  <si>
    <t>Sembrar árboles y proteger ríos</t>
  </si>
  <si>
    <t>Modificación de los ecosistemas., Aumento de incendios., Incremento en la intensidad y frecuencia de eventos climáticos extremos.</t>
  </si>
  <si>
    <t>Pradera</t>
  </si>
  <si>
    <t>Biotecnologo</t>
  </si>
  <si>
    <t>El cambio climático es el cambio a largo plazo de los patrones del clima en el planeta, causada por nosotros, generando calentamiento global.</t>
  </si>
  <si>
    <t xml:space="preserve"> </t>
  </si>
  <si>
    <t>Poco acceso a información.</t>
  </si>
  <si>
    <t>La adaptación al cambio climático es el conjunto de acciones,  que buscan reducir la vulnerabilidad y aumentar la capacidad de las personas,  para enfrentar los efectos del cambio climático.</t>
  </si>
  <si>
    <t>Sigue constante</t>
  </si>
  <si>
    <t>Pérdida de biodiversidad</t>
  </si>
  <si>
    <t>Manejo adecuado de residuos y reducción de contaminación en ríos y quebradas.</t>
  </si>
  <si>
    <t>Clasificación de residuos y reciclaje para reducir contaminación.Realización de simulacros y planes de evacuación en colegios</t>
  </si>
  <si>
    <t>Pérdida de la biodiversidad., Inundaciones incontroladas por lluvias., Repercusión económica.</t>
  </si>
  <si>
    <t>Palmira</t>
  </si>
  <si>
    <t>Técnico</t>
  </si>
  <si>
    <t>Cambio del clima repentino a lo largo del tiempo provocado por las acciones del ser humano</t>
  </si>
  <si>
    <t>Acceso moderado a información.</t>
  </si>
  <si>
    <t>Si</t>
  </si>
  <si>
    <t xml:space="preserve">Adaptarse a los cambios constantes del clima </t>
  </si>
  <si>
    <t>Materiales impresos (folletos, libros).</t>
  </si>
  <si>
    <t xml:space="preserve">Reutilizar materiales, utilizar transportes amigables con el medio ambiente como la bicicleta </t>
  </si>
  <si>
    <t xml:space="preserve">El reciclaje </t>
  </si>
  <si>
    <t>Aumento de incendios., Inundaciones incontroladas por lluvias., Incremento en la intensidad y frecuencia de eventos climáticos extremos.</t>
  </si>
  <si>
    <t>La paz/Cesar</t>
  </si>
  <si>
    <t xml:space="preserve">Estudiante </t>
  </si>
  <si>
    <t>Es la alteración de la temperatura clima de la Tierra.</t>
  </si>
  <si>
    <t>La adaptación al cambio climático es cuando yo me ajusto a sus efectos para reducir daños y aprovechar oportunidades.</t>
  </si>
  <si>
    <t>Corponariño</t>
  </si>
  <si>
    <t>Incendios forestales, inundaciones</t>
  </si>
  <si>
    <t xml:space="preserve">Educar y sensibilizar a las persona sobre los desastres climáticos
Promover el reciclaje y la reducción de residuos </t>
  </si>
  <si>
    <t xml:space="preserve">Tener un uso responsable del agua. </t>
  </si>
  <si>
    <t>Aumento de enfermedades tropicales., Pérdida de la biodiversidad., Inundaciones incontroladas por lluvias.</t>
  </si>
  <si>
    <t xml:space="preserve">En mi hogar hemos tenido que adaptarnos haciendo cambios como almacenar agua en tanques para épocas de escasez y usar ventiladores para el calor </t>
  </si>
  <si>
    <t>Bachiller</t>
  </si>
  <si>
    <t xml:space="preserve">Creo yo que hace referencia a los cambios naturales de la temperatura en nuestro planeta y puede afectar de forma muy negativa o positiva en el medio ambiente </t>
  </si>
  <si>
    <t xml:space="preserve">Creo yo que trata de buscar las herramientas y métodos adecuados para que el impacto que pueda causar no sea de gravedad, sino que se puedan implementar buenas prácticas ambientales que disminuyan el impacto negativo en el medio ambiente </t>
  </si>
  <si>
    <t>Talleres o seminarios.</t>
  </si>
  <si>
    <t xml:space="preserve">Que tiene mucho que ver con la CVC ya que en el municipio en el que resido, se plantaron mas árboles, y ambien se declararon algunas zonas como lugares que se deben preservar para cuidar la biodiversidad de nuestro municipio </t>
  </si>
  <si>
    <t>Solo la CVC</t>
  </si>
  <si>
    <t xml:space="preserve">Inundaciones provocadas por fuertes lluvias, ya que el río se pone turbio y se crece y la mayoría de las casas se encuentran en una zona por donde pasa el río </t>
  </si>
  <si>
    <t xml:space="preserve">La conciencia ciudadana, hay que disminuir la quema de pastos y otros, también disminuir el uso del agua si es necesario y la energia, y lograr la disminución de basuras, aunque esto se puede enfocar mas en un problema ambiental también afecta al cambio climático debido a que si arrojan basuras, al momento de que llegue una fuerte lluvia el agua no va a poder evacuar y eso va a impulsar las inundaciones </t>
  </si>
  <si>
    <t xml:space="preserve">Ninguna que yo sepa </t>
  </si>
  <si>
    <t>Modificación de los ecosistemas., Pérdida de la biodiversidad., Aumento de incendios., Repercusión económica.</t>
  </si>
  <si>
    <t>Nos tocó implementar el uso de ventiladores</t>
  </si>
  <si>
    <t xml:space="preserve">Comerciante </t>
  </si>
  <si>
    <t xml:space="preserve">Es aquel que cambia de temperatura </t>
  </si>
  <si>
    <t xml:space="preserve">En resumen es aprender a vivir con diferentes
Cambios climáticos </t>
  </si>
  <si>
    <t xml:space="preserve">La alcaldía </t>
  </si>
  <si>
    <t xml:space="preserve">Inundaciones </t>
  </si>
  <si>
    <t xml:space="preserve">No contaminar el medio ambiente </t>
  </si>
  <si>
    <t xml:space="preserve">Uso eficiente al agua, zonas verdes y planes de emergencia </t>
  </si>
  <si>
    <t>Modificación de los ecosistemas., Pérdida de la biodiversidad., Incremento en la intensidad y frecuencia de eventos climáticos extremos.</t>
  </si>
  <si>
    <t xml:space="preserve">Es la variación del clima provocado por la mano humana y que en consecuencia produce el efecto invernadero y el calentamiento global </t>
  </si>
  <si>
    <t xml:space="preserve">Son las acciones que se llevan a cabo para reducir la vulnerabilidad y aumentar la resistencia ante los impacto del cambio climático </t>
  </si>
  <si>
    <t>El desbordamiento del río bolo que pueda provocar una avalancha y recupere su curso natural</t>
  </si>
  <si>
    <t>Tener buenas prácticas ambientales como el uso adecuado de los recursos hidricos, sembrar y cuidar árboles, y la correcta disposición de los residuos</t>
  </si>
  <si>
    <t xml:space="preserve">Campañas de concientizacion </t>
  </si>
  <si>
    <t>Recoger agua en recipientes porque en cualquier momento llueve y se va el servicio de agua potable</t>
  </si>
  <si>
    <t>Son las alteraciones climáticas que se aunque siempre han estado presentes, en los últimos años se ha presentado un aumento significativo e incluso irreversible por acciones del hombre, lo cual ha generado grandes dificultades en la actualidad para los seres humanos, la fauna y la flora.</t>
  </si>
  <si>
    <t>Son las diferentes políticas o medidas que se han tomado en cuenta para ayudar a sobre y reducir los efectos del cambio climático</t>
  </si>
  <si>
    <t xml:space="preserve">Inundaciones, sequías, incendios y olas de calor </t>
  </si>
  <si>
    <t xml:space="preserve">Talleres preventivos y que brinden información sobre que hacer en cada caso </t>
  </si>
  <si>
    <t>Reforestación.</t>
  </si>
  <si>
    <t>Modificación de los ecosistemas., Pérdida de la biodiversidad., Aumento de incendios.</t>
  </si>
  <si>
    <t xml:space="preserve">Ahorro de agua </t>
  </si>
  <si>
    <t>Rural</t>
  </si>
  <si>
    <t xml:space="preserve">Ama de casa </t>
  </si>
  <si>
    <t>36 - 45 años</t>
  </si>
  <si>
    <t xml:space="preserve">Es una alteración del ambiente. Causada principalmente por la actividad humana </t>
  </si>
  <si>
    <t xml:space="preserve">Es adaptarse a diferentes climas, o temperaturas </t>
  </si>
  <si>
    <t xml:space="preserve">Folletos e información por redes sociales de las lluvias </t>
  </si>
  <si>
    <t>Defensa civil</t>
  </si>
  <si>
    <t xml:space="preserve">Inundaciones en barrios. </t>
  </si>
  <si>
    <t xml:space="preserve">Capacitar a la ciudadanía, simulacros </t>
  </si>
  <si>
    <t xml:space="preserve">Capacitaciones. </t>
  </si>
  <si>
    <t>Modificación de los ecosistemas., Inundaciones incontroladas por lluvias., Daños en las infraestructuras.</t>
  </si>
  <si>
    <t xml:space="preserve">Almacenar agua en recipientes </t>
  </si>
  <si>
    <t xml:space="preserve">Prevención </t>
  </si>
  <si>
    <t>Aumento de enfermedades tropicales., Pérdida de la biodiversidad., Aumento de incendios.</t>
  </si>
  <si>
    <t>Masculino</t>
  </si>
  <si>
    <t xml:space="preserve">El cambio de estación </t>
  </si>
  <si>
    <t xml:space="preserve">Buenas viviendas </t>
  </si>
  <si>
    <t xml:space="preserve">Cambio de tuberías </t>
  </si>
  <si>
    <t>Aumento de enfermedades tropicales., Modificación de los ecosistemas., Inundaciones incontroladas por lluvias.</t>
  </si>
  <si>
    <t>El cambio climático son las variaciones del clima que ocurren en el sistema formado por las capas atmosféricas</t>
  </si>
  <si>
    <t>Supongo que la CVC</t>
  </si>
  <si>
    <t xml:space="preserve">Oleadas de calor muy fuertes </t>
  </si>
  <si>
    <t xml:space="preserve">Crear conciencia ambiental </t>
  </si>
  <si>
    <t>Pérdida de la biodiversidad., Aumento de incendios., Incremento en la intensidad y frecuencia de eventos climáticos extremos.</t>
  </si>
  <si>
    <t xml:space="preserve">Medidas para soportar el calor </t>
  </si>
  <si>
    <t>La Paz/Cesar</t>
  </si>
  <si>
    <t xml:space="preserve">Es un cambio en la temperatura </t>
  </si>
  <si>
    <t>No tengo acceso a información.</t>
  </si>
  <si>
    <t>Cambiarme para que el entorno climático no me afecte</t>
  </si>
  <si>
    <t xml:space="preserve">Arreglar el problema de las carreteras para que no hayan inundaciones </t>
  </si>
  <si>
    <t>Paneles solares, arbolizacion</t>
  </si>
  <si>
    <t>Modificación de los ecosistemas., Repercusión económica., Migraciones y guerras.</t>
  </si>
  <si>
    <t xml:space="preserve">Colocar muros para que no entre el agua </t>
  </si>
  <si>
    <t xml:space="preserve">Auxiliar de cocina </t>
  </si>
  <si>
    <t>Uracanes</t>
  </si>
  <si>
    <t xml:space="preserve">No sabe </t>
  </si>
  <si>
    <t>Aumento de enfermedades tropicales., Inundaciones incontroladas por lluvias., Daños en las infraestructuras.</t>
  </si>
  <si>
    <t xml:space="preserve">Cambio en la temperatura </t>
  </si>
  <si>
    <t>Adaptarse al calor</t>
  </si>
  <si>
    <t>Reciclaje, no talar árboles</t>
  </si>
  <si>
    <t>Daños en las infraestructuras., Migraciones y guerras., Incremento en la intensidad y frecuencia de eventos climáticos extremos.</t>
  </si>
  <si>
    <t xml:space="preserve">Cambio de temperatura </t>
  </si>
  <si>
    <t>Arbolizacion de parques</t>
  </si>
  <si>
    <t>Cambio o variaciones en el clima</t>
  </si>
  <si>
    <t>Olas de calor a personas hipertensas</t>
  </si>
  <si>
    <t>Aumento de enfermedades tropicales., Aumento de incendios., Inundaciones incontroladas por lluvias.</t>
  </si>
  <si>
    <t>más 55 años</t>
  </si>
  <si>
    <t xml:space="preserve">Son las adversidades o cambios brusco que se dan en la naturaleza </t>
  </si>
  <si>
    <t>Reforestación, se cuida el cause de los rios</t>
  </si>
  <si>
    <t xml:space="preserve">Acomodarnos a los cambios, alternar o tomar medidas que vayan a dañar la biodiversidad </t>
  </si>
  <si>
    <t xml:space="preserve">Lote de paneles solares </t>
  </si>
  <si>
    <t xml:space="preserve">Sí	</t>
  </si>
  <si>
    <t>Umata, icora</t>
  </si>
  <si>
    <t xml:space="preserve">Escasez de agua, problema de la luz y producción de alimentos porque cuando no hay agua no se puede cultivar </t>
  </si>
  <si>
    <t xml:space="preserve">Evitar la contaminación de ríos, reforestación </t>
  </si>
  <si>
    <t>Inundaciones incontroladas por lluvias., Repercusión económica., Migraciones y guerras.</t>
  </si>
  <si>
    <t xml:space="preserve">Albercas de almacenamiento </t>
  </si>
  <si>
    <t xml:space="preserve">Variaciones que hay en el clima a causa de la persona y que ocasiona el calentamiento global y otros fenómenos </t>
  </si>
  <si>
    <t>Creo que son las medidas que busca  el medio ambiente para reducir su peligro ante el cambio climático</t>
  </si>
  <si>
    <t xml:space="preserve">CVC, porque vienen a la casa a mirar el tanque y también estan mirando mucho los caracoles africanos que hay en el bolo y en el ancianato </t>
  </si>
  <si>
    <t>Desbordamiento del río o oleadas de calor muy fuertes</t>
  </si>
  <si>
    <t xml:space="preserve">Dar a conocer algunas de las formas de las que se puede prevenir o evitar cualquier desastre climático y que también puedan tomar medidas de prevención </t>
  </si>
  <si>
    <t>No sé la verdad</t>
  </si>
  <si>
    <t xml:space="preserve">Sembrar más árboles </t>
  </si>
  <si>
    <t xml:space="preserve">Sembrar árboles, menos contaminación en las calles </t>
  </si>
  <si>
    <t>Modificación de los ecosistemas.</t>
  </si>
  <si>
    <t xml:space="preserve">Cuando cambia severamente el verano a invierno o viceversa </t>
  </si>
  <si>
    <t>Adaptar lo que hay al rededor dependiendo las necesidades y el estado del clima</t>
  </si>
  <si>
    <t xml:space="preserve">Avisos a la comunidad, talleres, control del medio ambiente </t>
  </si>
  <si>
    <t xml:space="preserve">Realizar reciclaje y ahorrar agua y energía </t>
  </si>
  <si>
    <t>Aumento de enfermedades tropicales., Daños en las infraestructuras.</t>
  </si>
  <si>
    <t xml:space="preserve">Son los efectos causados por la humanidad por el consumismo desproporcionacionado que se ha presentado desde la revolución industrial en el siglo 19 esto causa desvalance químicos en nuestra atmósfera y medio lo que causa una toxicidad para nuestra madre tierra </t>
  </si>
  <si>
    <t xml:space="preserve">Es modificación del comportamiento normal para acoplarse a un nuevo panorama </t>
  </si>
  <si>
    <t xml:space="preserve">Inundaciones y sequía </t>
  </si>
  <si>
    <t xml:space="preserve">Consumismo responsable </t>
  </si>
  <si>
    <t xml:space="preserve">Talleres </t>
  </si>
  <si>
    <t>Pérdida de la biodiversidad.</t>
  </si>
  <si>
    <t>El cambio climático es el aumento de la temperatura promedio causado por las actividades humanas.</t>
  </si>
  <si>
    <t xml:space="preserve">En algunas ciudades hacen lo llamado pico y placa para poder que algunos vehículos no estén transitando para evitar así un poco de la contaminación vehicular </t>
  </si>
  <si>
    <t xml:space="preserve">Si las personas siguen así podemos llegar a tener muchos problemas en el mundo por la contaminación </t>
  </si>
  <si>
    <t xml:space="preserve">Contaminación </t>
  </si>
  <si>
    <t xml:space="preserve">Saber reciclar </t>
  </si>
  <si>
    <t xml:space="preserve">Cambios frecuentes del clima fuertes en diferente temporada del año </t>
  </si>
  <si>
    <t xml:space="preserve">CAPACITACION DE COMO ACTUAR EN CASO TAL ACURRA ESTOS DESASTRES </t>
  </si>
  <si>
    <t xml:space="preserve">Capacitaciones de rcp y evacuación </t>
  </si>
  <si>
    <t>Profesor</t>
  </si>
  <si>
    <t>Posgrado</t>
  </si>
  <si>
    <t>Se manifiesta con un aumento de la temperatura, reflejado en la pérdida de las noches frías y el rocío</t>
  </si>
  <si>
    <t xml:space="preserve">Mejoramiento del bosque municipal </t>
  </si>
  <si>
    <t>CVC</t>
  </si>
  <si>
    <t>Mantener los parques con la mayor parte arborea</t>
  </si>
  <si>
    <t xml:space="preserve">Básica secundaria </t>
  </si>
  <si>
    <t>Pueblos Rom o Gitano.</t>
  </si>
  <si>
    <t>Temblores o olas de calor</t>
  </si>
  <si>
    <t>Simulacros</t>
  </si>
  <si>
    <t>Aumento de enfermedades tropicales., Inundaciones incontroladas por lluvias., Incremento en la intensidad y frecuencia de eventos climáticos extremos.</t>
  </si>
  <si>
    <t xml:space="preserve">El constante cambio entre frío y calor , muchas veces causado por el ser humano donde se presenta el invierno y el calentamiento global. </t>
  </si>
  <si>
    <t xml:space="preserve">Son las acciones que los seres vivos tomamos para adaptarnos y protegernos a los efectos del cambio de clima. </t>
  </si>
  <si>
    <t xml:space="preserve">Cuando llueve muy fuerte, se inundan las calles dejando muy poca visibilidad por donde se moviliza </t>
  </si>
  <si>
    <t>podrían haber inundaciones ,  incendios forestales, sequía</t>
  </si>
  <si>
    <t xml:space="preserve">Mantener limpia y despejada el área de los sumideros, reduciendo los incendios provocados de la planta de la caña de azúcar, botando la basura en sus correspondientes botes , sembrando árboles </t>
  </si>
  <si>
    <t xml:space="preserve">La reducción del consumo de agua, de energía y de los productos que usemos </t>
  </si>
  <si>
    <t>Aumento de enfermedades tropicales., Repercusión económica., Incremento en la intensidad y frecuencia de eventos climáticos extremos.</t>
  </si>
  <si>
    <t xml:space="preserve">Es un cambio de estación puede ser de invierno a verano </t>
  </si>
  <si>
    <t xml:space="preserve">Disminuir La Quema De Caña </t>
  </si>
  <si>
    <t xml:space="preserve">Concientizar a las personas de la siembra de árboles </t>
  </si>
  <si>
    <t>Cambios en el clima</t>
  </si>
  <si>
    <t>Cómo el cuerpo enfrenta los cambios climáticos</t>
  </si>
  <si>
    <t xml:space="preserve">Problemas a la salud por olas de calor </t>
  </si>
  <si>
    <t>Siembra de árboles para que haya un ambiente más fresco y cuidar el agua.</t>
  </si>
  <si>
    <t xml:space="preserve">Manejar los desechos, la utilización de bio fertilizantes </t>
  </si>
  <si>
    <t>Modificación de los ecosistemas., Pérdida de la biodiversidad., Daños en las infraestructuras.</t>
  </si>
  <si>
    <t>Comprar aire elevado para almacenamiento, aire acondicionado para las calores.</t>
  </si>
  <si>
    <t>Cambios del clima de la tierra.</t>
  </si>
  <si>
    <t xml:space="preserve">Campañas de sensibilización </t>
  </si>
  <si>
    <t xml:space="preserve">Olas de calor </t>
  </si>
  <si>
    <t xml:space="preserve">Reducir contaminantes </t>
  </si>
  <si>
    <t xml:space="preserve">Reciclar </t>
  </si>
  <si>
    <t>Evitando la quema de basuras</t>
  </si>
  <si>
    <t>Son los cambios de temperatura drástico que se dan en un determinado lazo de tiempo, cambios que pueden llegar afectar el planeta y aquellos que habitamos en él.</t>
  </si>
  <si>
    <t>La ruta de limpieza y conservación del río Bolo</t>
  </si>
  <si>
    <t xml:space="preserve">Departamento Administrativo de Gestión del Medio Ambiente </t>
  </si>
  <si>
    <t>Hace un tiempo (más o menos 8 años) el rio bolo se desbordó, ocasionando desastre y pérdidas materiales.</t>
  </si>
  <si>
    <t>Charlas y talleres</t>
  </si>
  <si>
    <t>Las jornadas de limpieza, los seminarios, talleres.</t>
  </si>
  <si>
    <t>Etiquetas de fila</t>
  </si>
  <si>
    <t>Cuenta de Pregrado</t>
  </si>
  <si>
    <t>Total general</t>
  </si>
  <si>
    <t>Cuenta de Sí</t>
  </si>
  <si>
    <t>Etiquetas de columna</t>
  </si>
  <si>
    <t>Total</t>
  </si>
  <si>
    <t>Cuenta de 26 - 35 años</t>
  </si>
  <si>
    <t>Cuenta de Femenino</t>
  </si>
  <si>
    <t>Cuenta de No</t>
  </si>
  <si>
    <t>Saben de ambos temas</t>
  </si>
  <si>
    <t>Saben solo de cambio climático</t>
  </si>
  <si>
    <t>Cuenta de Saben solo de cambio climático</t>
  </si>
  <si>
    <t>No saben de ninguno de los dos</t>
  </si>
  <si>
    <t>Cuenta de Palmira</t>
  </si>
  <si>
    <t>Cuenta de Fácil acceso a información detallada.</t>
  </si>
  <si>
    <t>Cuenta de Artículos científicos.</t>
  </si>
  <si>
    <t>Edad</t>
  </si>
  <si>
    <t>♀ Femenino</t>
  </si>
  <si>
    <t>♂ Masculino</t>
  </si>
  <si>
    <t>%</t>
  </si>
  <si>
    <t>65.6%</t>
  </si>
  <si>
    <t>12.5%</t>
  </si>
  <si>
    <t>18.8%</t>
  </si>
  <si>
    <t>Más de 55 años</t>
  </si>
  <si>
    <t>3.1%</t>
  </si>
  <si>
    <t>Cuenta de Estudiante</t>
  </si>
  <si>
    <t>Cuenta</t>
  </si>
  <si>
    <t xml:space="preserve">Cuenta </t>
  </si>
  <si>
    <t xml:space="preserve">Cuenta   </t>
  </si>
  <si>
    <t>Column Labels</t>
  </si>
  <si>
    <t>Row Labels</t>
  </si>
  <si>
    <t>Grand Total</t>
  </si>
  <si>
    <t>Details for Cuenta de Saben solo de cambio climático - Saben solo de cambio climático: No saben de ninguno de los dos</t>
  </si>
  <si>
    <t>Details for Cuenta de Sí - Sí: No</t>
  </si>
  <si>
    <t>Limpieza de rio y parques</t>
  </si>
  <si>
    <t>Lluvias</t>
  </si>
  <si>
    <t>Temperatura</t>
  </si>
  <si>
    <t>Olas de calor</t>
  </si>
  <si>
    <t>Aumentado (%)</t>
  </si>
  <si>
    <t>Disminuido (%)</t>
  </si>
  <si>
    <t>Sigue constante (%)</t>
  </si>
  <si>
    <t>Lluvias: Aumentado (%)</t>
  </si>
  <si>
    <t>Lluvias: Disminuido (%)</t>
  </si>
  <si>
    <t>Lluvias: Constante (%)</t>
  </si>
  <si>
    <t>Temperatura: Aumentado (%)</t>
  </si>
  <si>
    <t>Temperatura: Disminuido (%)</t>
  </si>
  <si>
    <t>Temperatura: Constante (%)</t>
  </si>
  <si>
    <t>Olas de calor: Aumentado (%)</t>
  </si>
  <si>
    <t>Olas de calor: Disminuido (%)</t>
  </si>
  <si>
    <t>Olas de calor: Constante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</si>
</sst>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sz val="16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4">
    <border>
      <left/>
      <right/>
      <top/>
      <bottom/>
      <diagonal/>
    </border>
    <border>
      <left/>
      <right/>
      <top/>
      <bottom style="thin">
        <color rgb="FF5B3F86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/>
      <top style="thin">
        <color indexed="6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 wrapText="1"/>
    </xf>
    <xf numFmtId="14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2" xfId="0" pivotButton="1" applyBorder="1"/>
    <xf numFmtId="0" fontId="0" fillId="0" borderId="6" xfId="0" applyBorder="1"/>
    <xf numFmtId="0" fontId="0" fillId="0" borderId="2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0" fontId="0" fillId="0" borderId="10" xfId="0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0" fontId="0" fillId="0" borderId="2" xfId="0" applyNumberFormat="1" applyBorder="1"/>
    <xf numFmtId="10" fontId="0" fillId="0" borderId="10" xfId="0" applyNumberFormat="1" applyBorder="1"/>
    <xf numFmtId="10" fontId="0" fillId="0" borderId="6" xfId="0" applyNumberFormat="1" applyBorder="1"/>
    <xf numFmtId="10" fontId="0" fillId="0" borderId="5" xfId="0" applyNumberFormat="1" applyBorder="1"/>
    <xf numFmtId="10" fontId="0" fillId="0" borderId="12" xfId="0" applyNumberFormat="1" applyBorder="1"/>
    <xf numFmtId="10" fontId="0" fillId="0" borderId="7" xfId="0" applyNumberFormat="1" applyBorder="1"/>
    <xf numFmtId="10" fontId="0" fillId="0" borderId="8" xfId="0" applyNumberFormat="1" applyBorder="1"/>
    <xf numFmtId="10" fontId="0" fillId="0" borderId="11" xfId="0" applyNumberFormat="1" applyBorder="1"/>
    <xf numFmtId="10" fontId="0" fillId="0" borderId="9" xfId="0" applyNumberFormat="1" applyBorder="1"/>
    <xf numFmtId="0" fontId="0" fillId="0" borderId="6" xfId="0" pivotButton="1" applyBorder="1"/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7" xfId="0" applyBorder="1" applyAlignment="1">
      <alignment horizontal="left" indent="1"/>
    </xf>
    <xf numFmtId="9" fontId="2" fillId="0" borderId="0" xfId="0" applyNumberFormat="1" applyFont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0" fillId="0" borderId="14" xfId="0" pivotButton="1" applyBorder="1"/>
    <xf numFmtId="0" fontId="0" fillId="0" borderId="15" xfId="0" applyBorder="1"/>
    <xf numFmtId="0" fontId="0" fillId="0" borderId="16" xfId="0" applyBorder="1"/>
    <xf numFmtId="0" fontId="0" fillId="0" borderId="14" xfId="0" applyBorder="1"/>
    <xf numFmtId="0" fontId="0" fillId="0" borderId="17" xfId="0" applyBorder="1"/>
    <xf numFmtId="0" fontId="0" fillId="0" borderId="18" xfId="0" applyBorder="1"/>
    <xf numFmtId="0" fontId="0" fillId="0" borderId="14" xfId="0" applyBorder="1" applyAlignment="1">
      <alignment horizontal="left"/>
    </xf>
    <xf numFmtId="10" fontId="0" fillId="0" borderId="14" xfId="0" applyNumberFormat="1" applyBorder="1"/>
    <xf numFmtId="10" fontId="0" fillId="0" borderId="17" xfId="0" applyNumberFormat="1" applyBorder="1"/>
    <xf numFmtId="10" fontId="0" fillId="0" borderId="18" xfId="0" applyNumberFormat="1" applyBorder="1"/>
    <xf numFmtId="0" fontId="0" fillId="0" borderId="19" xfId="0" applyBorder="1" applyAlignment="1">
      <alignment horizontal="left"/>
    </xf>
    <xf numFmtId="10" fontId="0" fillId="0" borderId="19" xfId="0" applyNumberFormat="1" applyBorder="1"/>
    <xf numFmtId="10" fontId="0" fillId="0" borderId="20" xfId="0" applyNumberFormat="1" applyBorder="1"/>
    <xf numFmtId="0" fontId="0" fillId="0" borderId="21" xfId="0" applyBorder="1" applyAlignment="1">
      <alignment horizontal="left"/>
    </xf>
    <xf numFmtId="10" fontId="0" fillId="0" borderId="21" xfId="0" applyNumberFormat="1" applyBorder="1"/>
    <xf numFmtId="10" fontId="0" fillId="0" borderId="22" xfId="0" applyNumberFormat="1" applyBorder="1"/>
    <xf numFmtId="10" fontId="0" fillId="0" borderId="23" xfId="0" applyNumberFormat="1" applyBorder="1"/>
    <xf numFmtId="0" fontId="2" fillId="0" borderId="0" xfId="0" applyFont="1"/>
    <xf numFmtId="0" fontId="8" fillId="0" borderId="13" xfId="0" applyFont="1" applyBorder="1" applyAlignment="1">
      <alignment horizontal="center" vertical="center" wrapText="1"/>
    </xf>
    <xf numFmtId="0" fontId="8" fillId="0" borderId="13" xfId="0" applyFont="1" applyBorder="1" applyAlignment="1">
      <alignment vertical="center" wrapText="1"/>
    </xf>
    <xf numFmtId="10" fontId="0" fillId="0" borderId="13" xfId="0" applyNumberFormat="1" applyBorder="1" applyAlignment="1">
      <alignment vertical="center" wrapText="1"/>
    </xf>
    <xf numFmtId="0" fontId="5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9" fontId="2" fillId="0" borderId="0" xfId="0" applyNumberFormat="1" applyFont="1" applyBorder="1" applyAlignment="1">
      <alignment vertical="center" wrapText="1"/>
    </xf>
    <xf numFmtId="0" fontId="4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4.xml"/><Relationship Id="rId18" Type="http://schemas.openxmlformats.org/officeDocument/2006/relationships/pivotCacheDefinition" Target="pivotCache/pivotCacheDefinition9.xml"/><Relationship Id="rId26" Type="http://schemas.openxmlformats.org/officeDocument/2006/relationships/pivotCacheDefinition" Target="pivotCache/pivotCacheDefinition17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2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pivotCacheDefinition" Target="pivotCache/pivotCacheDefinition8.xml"/><Relationship Id="rId25" Type="http://schemas.openxmlformats.org/officeDocument/2006/relationships/pivotCacheDefinition" Target="pivotCache/pivotCacheDefinition16.xml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7.xml"/><Relationship Id="rId20" Type="http://schemas.openxmlformats.org/officeDocument/2006/relationships/pivotCacheDefinition" Target="pivotCache/pivotCacheDefinition11.xml"/><Relationship Id="rId29" Type="http://schemas.openxmlformats.org/officeDocument/2006/relationships/pivotCacheDefinition" Target="pivotCache/pivotCacheDefinition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pivotCacheDefinition" Target="pivotCache/pivotCacheDefinition15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23" Type="http://schemas.openxmlformats.org/officeDocument/2006/relationships/pivotCacheDefinition" Target="pivotCache/pivotCacheDefinition14.xml"/><Relationship Id="rId28" Type="http://schemas.openxmlformats.org/officeDocument/2006/relationships/pivotCacheDefinition" Target="pivotCache/pivotCacheDefinition19.xml"/><Relationship Id="rId10" Type="http://schemas.openxmlformats.org/officeDocument/2006/relationships/pivotCacheDefinition" Target="pivotCache/pivotCacheDefinition1.xml"/><Relationship Id="rId19" Type="http://schemas.openxmlformats.org/officeDocument/2006/relationships/pivotCacheDefinition" Target="pivotCache/pivotCacheDefinition10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pivotCacheDefinition" Target="pivotCache/pivotCacheDefinition5.xml"/><Relationship Id="rId22" Type="http://schemas.openxmlformats.org/officeDocument/2006/relationships/pivotCacheDefinition" Target="pivotCache/pivotCacheDefinition13.xml"/><Relationship Id="rId27" Type="http://schemas.openxmlformats.org/officeDocument/2006/relationships/pivotCacheDefinition" Target="pivotCache/pivotCacheDefinition18.xml"/><Relationship Id="rId30" Type="http://schemas.openxmlformats.org/officeDocument/2006/relationships/theme" Target="theme/theme1.xml"/><Relationship Id="rId8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[Encuesta Percepción.xlsx]Hoja7!Tabla dinámica61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100"/>
              <a:t>Conocimiento de la</a:t>
            </a:r>
            <a:r>
              <a:rPr lang="es-CO" sz="1100" baseline="0"/>
              <a:t> Poblacion al respecto del cambio climatico y La Adaptacion</a:t>
            </a:r>
            <a:endParaRPr lang="es-CO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Hoja7!$F$3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2FF-4649-81E0-42B5AA5D595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2FF-4649-81E0-42B5AA5D595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2FF-4649-81E0-42B5AA5D5959}"/>
              </c:ext>
            </c:extLst>
          </c:dPt>
          <c:cat>
            <c:strRef>
              <c:f>Hoja7!$E$4:$E$7</c:f>
              <c:strCache>
                <c:ptCount val="3"/>
                <c:pt idx="0">
                  <c:v>Saben solo de cambio climático</c:v>
                </c:pt>
                <c:pt idx="1">
                  <c:v>Saben de ambos temas</c:v>
                </c:pt>
                <c:pt idx="2">
                  <c:v>No saben de ninguno de los dos</c:v>
                </c:pt>
              </c:strCache>
            </c:strRef>
          </c:cat>
          <c:val>
            <c:numRef>
              <c:f>Hoja7!$F$4:$F$7</c:f>
              <c:numCache>
                <c:formatCode>0.00%</c:formatCode>
                <c:ptCount val="3"/>
                <c:pt idx="0">
                  <c:v>0.32258064516129031</c:v>
                </c:pt>
                <c:pt idx="1">
                  <c:v>0.54838709677419351</c:v>
                </c:pt>
                <c:pt idx="2">
                  <c:v>0.12903225806451613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FF-4649-81E0-42B5AA5D5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[Encuesta Percepción.xlsx]Hoja7!Tabla dinámica70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Hoja7!$D$36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Hoja7!$C$37:$C$39</c:f>
              <c:strCache>
                <c:ptCount val="2"/>
                <c:pt idx="0">
                  <c:v>No</c:v>
                </c:pt>
                <c:pt idx="1">
                  <c:v>Sí</c:v>
                </c:pt>
              </c:strCache>
            </c:strRef>
          </c:cat>
          <c:val>
            <c:numRef>
              <c:f>Hoja7!$D$37:$D$39</c:f>
              <c:numCache>
                <c:formatCode>0.00%</c:formatCode>
                <c:ptCount val="2"/>
                <c:pt idx="0">
                  <c:v>0.12903225806451613</c:v>
                </c:pt>
                <c:pt idx="1">
                  <c:v>0.87096774193548387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21-4C93-951E-C27796BE6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113280"/>
        <c:axId val="2070018272"/>
      </c:barChart>
      <c:catAx>
        <c:axId val="17411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70018272"/>
        <c:crosses val="autoZero"/>
        <c:auto val="1"/>
        <c:lblAlgn val="ctr"/>
        <c:lblOffset val="100"/>
        <c:noMultiLvlLbl val="0"/>
      </c:catAx>
      <c:valAx>
        <c:axId val="207001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11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[Encuesta Percepción.xlsx]Hoja7!Tabla dinámica73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100"/>
              <a:t>¿Sabe</a:t>
            </a:r>
            <a:r>
              <a:rPr lang="es-CO" sz="1100" baseline="0"/>
              <a:t> usted que es cambio climatico? </a:t>
            </a:r>
          </a:p>
          <a:p>
            <a:pPr>
              <a:defRPr/>
            </a:pPr>
            <a:r>
              <a:rPr lang="es-CO" sz="1100" baseline="0"/>
              <a:t>(localidad)</a:t>
            </a:r>
            <a:endParaRPr lang="es-CO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Hoja7!$D$73:$D$74</c:f>
              <c:strCache>
                <c:ptCount val="1"/>
                <c:pt idx="0">
                  <c:v>La paz/Cesar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Hoja7!$C$75:$C$77</c:f>
              <c:strCache>
                <c:ptCount val="2"/>
                <c:pt idx="0">
                  <c:v>No</c:v>
                </c:pt>
                <c:pt idx="1">
                  <c:v>Sí</c:v>
                </c:pt>
              </c:strCache>
            </c:strRef>
          </c:cat>
          <c:val>
            <c:numRef>
              <c:f>Hoja7!$D$75:$D$77</c:f>
              <c:numCache>
                <c:formatCode>0.00%</c:formatCode>
                <c:ptCount val="2"/>
                <c:pt idx="0">
                  <c:v>3.2258064516129031E-2</c:v>
                </c:pt>
                <c:pt idx="1">
                  <c:v>0.22580645161290322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B-44CC-9123-1C4032D2E937}"/>
            </c:ext>
          </c:extLst>
        </c:ser>
        <c:ser>
          <c:idx val="1"/>
          <c:order val="1"/>
          <c:tx>
            <c:strRef>
              <c:f>Hoja7!$E$73:$E$74</c:f>
              <c:strCache>
                <c:ptCount val="1"/>
                <c:pt idx="0">
                  <c:v>Palmira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Hoja7!$C$75:$C$77</c:f>
              <c:strCache>
                <c:ptCount val="2"/>
                <c:pt idx="0">
                  <c:v>No</c:v>
                </c:pt>
                <c:pt idx="1">
                  <c:v>Sí</c:v>
                </c:pt>
              </c:strCache>
            </c:strRef>
          </c:cat>
          <c:val>
            <c:numRef>
              <c:f>Hoja7!$E$75:$E$77</c:f>
              <c:numCache>
                <c:formatCode>0.00%</c:formatCode>
                <c:ptCount val="2"/>
                <c:pt idx="0">
                  <c:v>3.2258064516129031E-2</c:v>
                </c:pt>
                <c:pt idx="1">
                  <c:v>0.12903225806451613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5B-44CC-9123-1C4032D2E937}"/>
            </c:ext>
          </c:extLst>
        </c:ser>
        <c:ser>
          <c:idx val="2"/>
          <c:order val="2"/>
          <c:tx>
            <c:strRef>
              <c:f>Hoja7!$F$73:$F$74</c:f>
              <c:strCache>
                <c:ptCount val="1"/>
                <c:pt idx="0">
                  <c:v>Pradera</c:v>
                </c:pt>
              </c:strCache>
            </c:strRef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Hoja7!$C$75:$C$77</c:f>
              <c:strCache>
                <c:ptCount val="2"/>
                <c:pt idx="0">
                  <c:v>No</c:v>
                </c:pt>
                <c:pt idx="1">
                  <c:v>Sí</c:v>
                </c:pt>
              </c:strCache>
            </c:strRef>
          </c:cat>
          <c:val>
            <c:numRef>
              <c:f>Hoja7!$F$75:$F$77</c:f>
              <c:numCache>
                <c:formatCode>0.00%</c:formatCode>
                <c:ptCount val="2"/>
                <c:pt idx="0">
                  <c:v>6.4516129032258063E-2</c:v>
                </c:pt>
                <c:pt idx="1">
                  <c:v>0.5161290322580645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5B-44CC-9123-1C4032D2E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796976"/>
        <c:axId val="107793168"/>
      </c:barChart>
      <c:catAx>
        <c:axId val="10779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7793168"/>
        <c:crosses val="autoZero"/>
        <c:auto val="1"/>
        <c:lblAlgn val="ctr"/>
        <c:lblOffset val="100"/>
        <c:noMultiLvlLbl val="0"/>
      </c:catAx>
      <c:valAx>
        <c:axId val="10779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779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[Encuesta Percepción.xlsx]Hoja7!Tabla dinámica75</c:name>
    <c:fmtId val="0"/>
  </c:pivotSource>
  <c:chart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Hoja7!$E$87:$E$88</c:f>
              <c:strCache>
                <c:ptCount val="1"/>
                <c:pt idx="0">
                  <c:v>La paz/Cesar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Hoja7!$D$89:$D$92</c:f>
              <c:strCache>
                <c:ptCount val="3"/>
                <c:pt idx="0">
                  <c:v>No</c:v>
                </c:pt>
                <c:pt idx="1">
                  <c:v>Si</c:v>
                </c:pt>
                <c:pt idx="2">
                  <c:v>Sí</c:v>
                </c:pt>
              </c:strCache>
            </c:strRef>
          </c:cat>
          <c:val>
            <c:numRef>
              <c:f>Hoja7!$E$89:$E$92</c:f>
              <c:numCache>
                <c:formatCode>0.00%</c:formatCode>
                <c:ptCount val="3"/>
                <c:pt idx="0">
                  <c:v>9.6774193548387094E-2</c:v>
                </c:pt>
                <c:pt idx="1">
                  <c:v>0</c:v>
                </c:pt>
                <c:pt idx="2">
                  <c:v>0.16129032258064516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40-4530-801C-9D2BBF3DF497}"/>
            </c:ext>
          </c:extLst>
        </c:ser>
        <c:ser>
          <c:idx val="1"/>
          <c:order val="1"/>
          <c:tx>
            <c:strRef>
              <c:f>Hoja7!$F$87:$F$88</c:f>
              <c:strCache>
                <c:ptCount val="1"/>
                <c:pt idx="0">
                  <c:v>Palmira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Hoja7!$D$89:$D$92</c:f>
              <c:strCache>
                <c:ptCount val="3"/>
                <c:pt idx="0">
                  <c:v>No</c:v>
                </c:pt>
                <c:pt idx="1">
                  <c:v>Si</c:v>
                </c:pt>
                <c:pt idx="2">
                  <c:v>Sí</c:v>
                </c:pt>
              </c:strCache>
            </c:strRef>
          </c:cat>
          <c:val>
            <c:numRef>
              <c:f>Hoja7!$F$89:$F$92</c:f>
              <c:numCache>
                <c:formatCode>0.00%</c:formatCode>
                <c:ptCount val="3"/>
                <c:pt idx="0">
                  <c:v>9.6774193548387094E-2</c:v>
                </c:pt>
                <c:pt idx="1">
                  <c:v>3.2258064516129031E-2</c:v>
                </c:pt>
                <c:pt idx="2">
                  <c:v>3.2258064516129031E-2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40-4530-801C-9D2BBF3DF497}"/>
            </c:ext>
          </c:extLst>
        </c:ser>
        <c:ser>
          <c:idx val="2"/>
          <c:order val="2"/>
          <c:tx>
            <c:strRef>
              <c:f>Hoja7!$G$87:$G$88</c:f>
              <c:strCache>
                <c:ptCount val="1"/>
                <c:pt idx="0">
                  <c:v>Pradera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Hoja7!$D$89:$D$92</c:f>
              <c:strCache>
                <c:ptCount val="3"/>
                <c:pt idx="0">
                  <c:v>No</c:v>
                </c:pt>
                <c:pt idx="1">
                  <c:v>Si</c:v>
                </c:pt>
                <c:pt idx="2">
                  <c:v>Sí</c:v>
                </c:pt>
              </c:strCache>
            </c:strRef>
          </c:cat>
          <c:val>
            <c:numRef>
              <c:f>Hoja7!$G$89:$G$92</c:f>
              <c:numCache>
                <c:formatCode>0.00%</c:formatCode>
                <c:ptCount val="3"/>
                <c:pt idx="0">
                  <c:v>0.25806451612903225</c:v>
                </c:pt>
                <c:pt idx="1">
                  <c:v>0</c:v>
                </c:pt>
                <c:pt idx="2">
                  <c:v>0.32258064516129031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40-4530-801C-9D2BBF3DF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0061888"/>
        <c:axId val="400056992"/>
      </c:barChart>
      <c:catAx>
        <c:axId val="40006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0056992"/>
        <c:crosses val="autoZero"/>
        <c:auto val="1"/>
        <c:lblAlgn val="ctr"/>
        <c:lblOffset val="100"/>
        <c:noMultiLvlLbl val="0"/>
      </c:catAx>
      <c:valAx>
        <c:axId val="40005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0061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[Encuesta Percepción.xlsx]Hoja7!Tabla dinámica77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Hoja7!$G$111:$G$112</c:f>
              <c:strCache>
                <c:ptCount val="1"/>
                <c:pt idx="0">
                  <c:v>Acceso moderado a información.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Hoja7!$F$113:$F$117</c:f>
              <c:strCache>
                <c:ptCount val="4"/>
                <c:pt idx="0">
                  <c:v>15 - 25 años</c:v>
                </c:pt>
                <c:pt idx="1">
                  <c:v>26 - 35 años</c:v>
                </c:pt>
                <c:pt idx="2">
                  <c:v>36 - 45 años</c:v>
                </c:pt>
                <c:pt idx="3">
                  <c:v>más 55 años</c:v>
                </c:pt>
              </c:strCache>
            </c:strRef>
          </c:cat>
          <c:val>
            <c:numRef>
              <c:f>Hoja7!$G$113:$G$117</c:f>
              <c:numCache>
                <c:formatCode>0.00%</c:formatCode>
                <c:ptCount val="4"/>
                <c:pt idx="0">
                  <c:v>0.35483870967741937</c:v>
                </c:pt>
                <c:pt idx="1">
                  <c:v>0</c:v>
                </c:pt>
                <c:pt idx="2">
                  <c:v>0.12903225806451613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0C-4CC1-BA86-642B1886646F}"/>
            </c:ext>
          </c:extLst>
        </c:ser>
        <c:ser>
          <c:idx val="1"/>
          <c:order val="1"/>
          <c:tx>
            <c:strRef>
              <c:f>Hoja7!$H$111:$H$112</c:f>
              <c:strCache>
                <c:ptCount val="1"/>
                <c:pt idx="0">
                  <c:v>Fácil acceso a información detallada.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Hoja7!$F$113:$F$117</c:f>
              <c:strCache>
                <c:ptCount val="4"/>
                <c:pt idx="0">
                  <c:v>15 - 25 años</c:v>
                </c:pt>
                <c:pt idx="1">
                  <c:v>26 - 35 años</c:v>
                </c:pt>
                <c:pt idx="2">
                  <c:v>36 - 45 años</c:v>
                </c:pt>
                <c:pt idx="3">
                  <c:v>más 55 años</c:v>
                </c:pt>
              </c:strCache>
            </c:strRef>
          </c:cat>
          <c:val>
            <c:numRef>
              <c:f>Hoja7!$H$113:$H$117</c:f>
              <c:numCache>
                <c:formatCode>0.00%</c:formatCode>
                <c:ptCount val="4"/>
                <c:pt idx="0">
                  <c:v>0.12903225806451613</c:v>
                </c:pt>
                <c:pt idx="1">
                  <c:v>6.4516129032258063E-2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0C-4CC1-BA86-642B1886646F}"/>
            </c:ext>
          </c:extLst>
        </c:ser>
        <c:ser>
          <c:idx val="2"/>
          <c:order val="2"/>
          <c:tx>
            <c:strRef>
              <c:f>Hoja7!$I$111:$I$112</c:f>
              <c:strCache>
                <c:ptCount val="1"/>
                <c:pt idx="0">
                  <c:v>No tengo acceso a información.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Hoja7!$F$113:$F$117</c:f>
              <c:strCache>
                <c:ptCount val="4"/>
                <c:pt idx="0">
                  <c:v>15 - 25 años</c:v>
                </c:pt>
                <c:pt idx="1">
                  <c:v>26 - 35 años</c:v>
                </c:pt>
                <c:pt idx="2">
                  <c:v>36 - 45 años</c:v>
                </c:pt>
                <c:pt idx="3">
                  <c:v>más 55 años</c:v>
                </c:pt>
              </c:strCache>
            </c:strRef>
          </c:cat>
          <c:val>
            <c:numRef>
              <c:f>Hoja7!$I$113:$I$117</c:f>
              <c:numCache>
                <c:formatCode>0.00%</c:formatCode>
                <c:ptCount val="4"/>
                <c:pt idx="0">
                  <c:v>3.2258064516129031E-2</c:v>
                </c:pt>
                <c:pt idx="1">
                  <c:v>0</c:v>
                </c:pt>
                <c:pt idx="2">
                  <c:v>3.2258064516129031E-2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0C-4CC1-BA86-642B1886646F}"/>
            </c:ext>
          </c:extLst>
        </c:ser>
        <c:ser>
          <c:idx val="3"/>
          <c:order val="3"/>
          <c:tx>
            <c:strRef>
              <c:f>Hoja7!$J$111:$J$112</c:f>
              <c:strCache>
                <c:ptCount val="1"/>
                <c:pt idx="0">
                  <c:v>Poco acceso a información.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Hoja7!$F$113:$F$117</c:f>
              <c:strCache>
                <c:ptCount val="4"/>
                <c:pt idx="0">
                  <c:v>15 - 25 años</c:v>
                </c:pt>
                <c:pt idx="1">
                  <c:v>26 - 35 años</c:v>
                </c:pt>
                <c:pt idx="2">
                  <c:v>36 - 45 años</c:v>
                </c:pt>
                <c:pt idx="3">
                  <c:v>más 55 años</c:v>
                </c:pt>
              </c:strCache>
            </c:strRef>
          </c:cat>
          <c:val>
            <c:numRef>
              <c:f>Hoja7!$J$113:$J$117</c:f>
              <c:numCache>
                <c:formatCode>0.00%</c:formatCode>
                <c:ptCount val="4"/>
                <c:pt idx="0">
                  <c:v>0.12903225806451613</c:v>
                </c:pt>
                <c:pt idx="1">
                  <c:v>6.4516129032258063E-2</c:v>
                </c:pt>
                <c:pt idx="2">
                  <c:v>3.2258064516129031E-2</c:v>
                </c:pt>
                <c:pt idx="3">
                  <c:v>3.2258064516129031E-2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0C-4CC1-BA86-642B18866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5241520"/>
        <c:axId val="400059168"/>
      </c:barChart>
      <c:catAx>
        <c:axId val="208524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0059168"/>
        <c:crosses val="autoZero"/>
        <c:auto val="1"/>
        <c:lblAlgn val="ctr"/>
        <c:lblOffset val="100"/>
        <c:noMultiLvlLbl val="0"/>
      </c:catAx>
      <c:valAx>
        <c:axId val="40005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5241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[Encuesta Percepción.xlsx]Hoja7!Tabla dinámica79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Hoja7!$G$149:$G$150</c:f>
              <c:strCache>
                <c:ptCount val="1"/>
                <c:pt idx="0">
                  <c:v>A través de redes sociales.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Hoja7!$F$151:$F$155</c:f>
              <c:strCache>
                <c:ptCount val="4"/>
                <c:pt idx="0">
                  <c:v>15 - 25 años</c:v>
                </c:pt>
                <c:pt idx="1">
                  <c:v>26 - 35 años</c:v>
                </c:pt>
                <c:pt idx="2">
                  <c:v>36 - 45 años</c:v>
                </c:pt>
                <c:pt idx="3">
                  <c:v>más 55 años</c:v>
                </c:pt>
              </c:strCache>
            </c:strRef>
          </c:cat>
          <c:val>
            <c:numRef>
              <c:f>Hoja7!$G$151:$G$155</c:f>
              <c:numCache>
                <c:formatCode>0.00%</c:formatCode>
                <c:ptCount val="4"/>
                <c:pt idx="0">
                  <c:v>0.35483870967741937</c:v>
                </c:pt>
                <c:pt idx="1">
                  <c:v>6.4516129032258063E-2</c:v>
                </c:pt>
                <c:pt idx="2">
                  <c:v>0.12903225806451613</c:v>
                </c:pt>
                <c:pt idx="3">
                  <c:v>3.2258064516129031E-2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9C-4285-A00F-0700275E779A}"/>
            </c:ext>
          </c:extLst>
        </c:ser>
        <c:ser>
          <c:idx val="1"/>
          <c:order val="1"/>
          <c:tx>
            <c:strRef>
              <c:f>Hoja7!$H$149:$H$150</c:f>
              <c:strCache>
                <c:ptCount val="1"/>
                <c:pt idx="0">
                  <c:v>Artículos científicos.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Hoja7!$F$151:$F$155</c:f>
              <c:strCache>
                <c:ptCount val="4"/>
                <c:pt idx="0">
                  <c:v>15 - 25 años</c:v>
                </c:pt>
                <c:pt idx="1">
                  <c:v>26 - 35 años</c:v>
                </c:pt>
                <c:pt idx="2">
                  <c:v>36 - 45 años</c:v>
                </c:pt>
                <c:pt idx="3">
                  <c:v>más 55 años</c:v>
                </c:pt>
              </c:strCache>
            </c:strRef>
          </c:cat>
          <c:val>
            <c:numRef>
              <c:f>Hoja7!$H$151:$H$155</c:f>
              <c:numCache>
                <c:formatCode>0.00%</c:formatCode>
                <c:ptCount val="4"/>
                <c:pt idx="0">
                  <c:v>3.2258064516129031E-2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9C-4285-A00F-0700275E779A}"/>
            </c:ext>
          </c:extLst>
        </c:ser>
        <c:ser>
          <c:idx val="2"/>
          <c:order val="2"/>
          <c:tx>
            <c:strRef>
              <c:f>Hoja7!$I$149:$I$150</c:f>
              <c:strCache>
                <c:ptCount val="1"/>
                <c:pt idx="0">
                  <c:v>Materiales impresos (folletos, libros).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Hoja7!$F$151:$F$155</c:f>
              <c:strCache>
                <c:ptCount val="4"/>
                <c:pt idx="0">
                  <c:v>15 - 25 años</c:v>
                </c:pt>
                <c:pt idx="1">
                  <c:v>26 - 35 años</c:v>
                </c:pt>
                <c:pt idx="2">
                  <c:v>36 - 45 años</c:v>
                </c:pt>
                <c:pt idx="3">
                  <c:v>más 55 años</c:v>
                </c:pt>
              </c:strCache>
            </c:strRef>
          </c:cat>
          <c:val>
            <c:numRef>
              <c:f>Hoja7!$I$151:$I$155</c:f>
              <c:numCache>
                <c:formatCode>0.00%</c:formatCode>
                <c:ptCount val="4"/>
                <c:pt idx="0">
                  <c:v>9.6774193548387094E-2</c:v>
                </c:pt>
                <c:pt idx="1">
                  <c:v>0</c:v>
                </c:pt>
                <c:pt idx="2">
                  <c:v>3.2258064516129031E-2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9C-4285-A00F-0700275E779A}"/>
            </c:ext>
          </c:extLst>
        </c:ser>
        <c:ser>
          <c:idx val="3"/>
          <c:order val="3"/>
          <c:tx>
            <c:strRef>
              <c:f>Hoja7!$J$149:$J$150</c:f>
              <c:strCache>
                <c:ptCount val="1"/>
                <c:pt idx="0">
                  <c:v>Talleres o seminarios.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Hoja7!$F$151:$F$155</c:f>
              <c:strCache>
                <c:ptCount val="4"/>
                <c:pt idx="0">
                  <c:v>15 - 25 años</c:v>
                </c:pt>
                <c:pt idx="1">
                  <c:v>26 - 35 años</c:v>
                </c:pt>
                <c:pt idx="2">
                  <c:v>36 - 45 años</c:v>
                </c:pt>
                <c:pt idx="3">
                  <c:v>más 55 años</c:v>
                </c:pt>
              </c:strCache>
            </c:strRef>
          </c:cat>
          <c:val>
            <c:numRef>
              <c:f>Hoja7!$J$151:$J$155</c:f>
              <c:numCache>
                <c:formatCode>0.00%</c:formatCode>
                <c:ptCount val="4"/>
                <c:pt idx="0">
                  <c:v>0.16129032258064516</c:v>
                </c:pt>
                <c:pt idx="1">
                  <c:v>6.4516129032258063E-2</c:v>
                </c:pt>
                <c:pt idx="2">
                  <c:v>3.2258064516129031E-2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9C-4285-A00F-0700275E7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152128"/>
        <c:axId val="400068960"/>
      </c:barChart>
      <c:catAx>
        <c:axId val="103152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0068960"/>
        <c:crosses val="autoZero"/>
        <c:auto val="1"/>
        <c:lblAlgn val="ctr"/>
        <c:lblOffset val="100"/>
        <c:noMultiLvlLbl val="0"/>
      </c:catAx>
      <c:valAx>
        <c:axId val="40006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15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[Encuesta Percepción.xlsx]Hoja7!Tabla dinámica83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¿Usted tiene conocimiento de proyectos o actividades que se hayan realizado sobre</a:t>
            </a:r>
          </a:p>
          <a:p>
            <a:pPr>
              <a:defRPr/>
            </a:pPr>
            <a:r>
              <a:rPr lang="en-US" sz="1100"/>
              <a:t>cambio climático en su municipio?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Hoja7!$D$189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Hoja7!$C$190:$C$192</c:f>
              <c:strCache>
                <c:ptCount val="2"/>
                <c:pt idx="0">
                  <c:v>No</c:v>
                </c:pt>
                <c:pt idx="1">
                  <c:v>Sí</c:v>
                </c:pt>
              </c:strCache>
            </c:strRef>
          </c:cat>
          <c:val>
            <c:numRef>
              <c:f>Hoja7!$D$190:$D$192</c:f>
              <c:numCache>
                <c:formatCode>0.00%</c:formatCode>
                <c:ptCount val="2"/>
                <c:pt idx="0">
                  <c:v>0.80645161290322576</c:v>
                </c:pt>
                <c:pt idx="1">
                  <c:v>0.19354838709677419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F9-4227-9C82-E7249DC49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794256"/>
        <c:axId val="178851200"/>
      </c:barChart>
      <c:catAx>
        <c:axId val="10779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8851200"/>
        <c:crosses val="autoZero"/>
        <c:auto val="1"/>
        <c:lblAlgn val="ctr"/>
        <c:lblOffset val="100"/>
        <c:noMultiLvlLbl val="0"/>
      </c:catAx>
      <c:valAx>
        <c:axId val="17885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7794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[Encuesta Percepción.xlsx]Hoja2!Tabla dinámica2</c:name>
    <c:fmtId val="5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Hoja2!$B$3:$B$4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Hoja2!$A$5:$A$11</c:f>
              <c:strCache>
                <c:ptCount val="6"/>
                <c:pt idx="0">
                  <c:v>Básica secundaria </c:v>
                </c:pt>
                <c:pt idx="1">
                  <c:v>Bachiller</c:v>
                </c:pt>
                <c:pt idx="2">
                  <c:v>Técnico</c:v>
                </c:pt>
                <c:pt idx="3">
                  <c:v>Tecnólogo</c:v>
                </c:pt>
                <c:pt idx="4">
                  <c:v>Pregrado</c:v>
                </c:pt>
                <c:pt idx="5">
                  <c:v>Posgrado</c:v>
                </c:pt>
              </c:strCache>
            </c:strRef>
          </c:cat>
          <c:val>
            <c:numRef>
              <c:f>Hoja2!$B$5:$B$11</c:f>
              <c:numCache>
                <c:formatCode>0.00%</c:formatCode>
                <c:ptCount val="6"/>
                <c:pt idx="0">
                  <c:v>3.2258064516129031E-2</c:v>
                </c:pt>
                <c:pt idx="1">
                  <c:v>6.4516129032258063E-2</c:v>
                </c:pt>
                <c:pt idx="2">
                  <c:v>0</c:v>
                </c:pt>
                <c:pt idx="3">
                  <c:v>3.2258064516129031E-2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48-404F-9194-2A9303A29BE1}"/>
            </c:ext>
          </c:extLst>
        </c:ser>
        <c:ser>
          <c:idx val="1"/>
          <c:order val="1"/>
          <c:tx>
            <c:strRef>
              <c:f>Hoja2!$C$3:$C$4</c:f>
              <c:strCache>
                <c:ptCount val="1"/>
                <c:pt idx="0">
                  <c:v>Sí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Hoja2!$A$5:$A$11</c:f>
              <c:strCache>
                <c:ptCount val="6"/>
                <c:pt idx="0">
                  <c:v>Básica secundaria </c:v>
                </c:pt>
                <c:pt idx="1">
                  <c:v>Bachiller</c:v>
                </c:pt>
                <c:pt idx="2">
                  <c:v>Técnico</c:v>
                </c:pt>
                <c:pt idx="3">
                  <c:v>Tecnólogo</c:v>
                </c:pt>
                <c:pt idx="4">
                  <c:v>Pregrado</c:v>
                </c:pt>
                <c:pt idx="5">
                  <c:v>Posgrado</c:v>
                </c:pt>
              </c:strCache>
            </c:strRef>
          </c:cat>
          <c:val>
            <c:numRef>
              <c:f>Hoja2!$C$5:$C$11</c:f>
              <c:numCache>
                <c:formatCode>0.00%</c:formatCode>
                <c:ptCount val="6"/>
                <c:pt idx="0">
                  <c:v>0</c:v>
                </c:pt>
                <c:pt idx="1">
                  <c:v>0.16129032258064516</c:v>
                </c:pt>
                <c:pt idx="2">
                  <c:v>0.38709677419354838</c:v>
                </c:pt>
                <c:pt idx="3">
                  <c:v>0.12903225806451613</c:v>
                </c:pt>
                <c:pt idx="4">
                  <c:v>0.16129032258064516</c:v>
                </c:pt>
                <c:pt idx="5">
                  <c:v>3.2258064516129031E-2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48-404F-9194-2A9303A29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508880"/>
        <c:axId val="104507248"/>
      </c:barChart>
      <c:catAx>
        <c:axId val="10450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507248"/>
        <c:crosses val="autoZero"/>
        <c:auto val="1"/>
        <c:lblAlgn val="ctr"/>
        <c:lblOffset val="100"/>
        <c:noMultiLvlLbl val="0"/>
      </c:catAx>
      <c:valAx>
        <c:axId val="10450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50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[Encuesta Percepción.xlsx]Hoja2!Tabla dinámica92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Hoja2!$D$25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Hoja2!$C$26:$C$28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Hoja2!$D$26:$D$28</c:f>
              <c:numCache>
                <c:formatCode>0.00%</c:formatCode>
                <c:ptCount val="2"/>
                <c:pt idx="0">
                  <c:v>9.6774193548387094E-2</c:v>
                </c:pt>
                <c:pt idx="1">
                  <c:v>0.90322580645161288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B8-439E-BBEF-D1437AFE4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711312"/>
        <c:axId val="173712400"/>
      </c:barChart>
      <c:catAx>
        <c:axId val="17371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3712400"/>
        <c:crosses val="autoZero"/>
        <c:auto val="1"/>
        <c:lblAlgn val="ctr"/>
        <c:lblOffset val="100"/>
        <c:noMultiLvlLbl val="0"/>
      </c:catAx>
      <c:valAx>
        <c:axId val="17371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371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[Encuesta Percepción.xlsx]Hoja1!Tabla dinámica47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Hoja1!$I$1:$I$2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Hoja1!$H$3:$H$7</c:f>
              <c:strCache>
                <c:ptCount val="4"/>
                <c:pt idx="0">
                  <c:v>15 - 25 años</c:v>
                </c:pt>
                <c:pt idx="1">
                  <c:v>26 - 35 años</c:v>
                </c:pt>
                <c:pt idx="2">
                  <c:v>36 - 45 años</c:v>
                </c:pt>
                <c:pt idx="3">
                  <c:v>más 55 años</c:v>
                </c:pt>
              </c:strCache>
            </c:strRef>
          </c:cat>
          <c:val>
            <c:numRef>
              <c:f>Hoja1!$I$3:$I$7</c:f>
              <c:numCache>
                <c:formatCode>0.00%</c:formatCode>
                <c:ptCount val="4"/>
                <c:pt idx="0">
                  <c:v>3.2258064516129031E-2</c:v>
                </c:pt>
                <c:pt idx="1">
                  <c:v>6.4516129032258063E-2</c:v>
                </c:pt>
                <c:pt idx="2">
                  <c:v>3.2258064516129031E-2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B5-41CE-A3D1-8FFF30C116F8}"/>
            </c:ext>
          </c:extLst>
        </c:ser>
        <c:ser>
          <c:idx val="1"/>
          <c:order val="1"/>
          <c:tx>
            <c:strRef>
              <c:f>Hoja1!$J$1:$J$2</c:f>
              <c:strCache>
                <c:ptCount val="1"/>
                <c:pt idx="0">
                  <c:v>Sí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Hoja1!$H$3:$H$7</c:f>
              <c:strCache>
                <c:ptCount val="4"/>
                <c:pt idx="0">
                  <c:v>15 - 25 años</c:v>
                </c:pt>
                <c:pt idx="1">
                  <c:v>26 - 35 años</c:v>
                </c:pt>
                <c:pt idx="2">
                  <c:v>36 - 45 años</c:v>
                </c:pt>
                <c:pt idx="3">
                  <c:v>más 55 años</c:v>
                </c:pt>
              </c:strCache>
            </c:strRef>
          </c:cat>
          <c:val>
            <c:numRef>
              <c:f>Hoja1!$J$3:$J$7</c:f>
              <c:numCache>
                <c:formatCode>0.00%</c:formatCode>
                <c:ptCount val="4"/>
                <c:pt idx="0">
                  <c:v>0.61290322580645162</c:v>
                </c:pt>
                <c:pt idx="1">
                  <c:v>6.4516129032258063E-2</c:v>
                </c:pt>
                <c:pt idx="2">
                  <c:v>0.16129032258064516</c:v>
                </c:pt>
                <c:pt idx="3">
                  <c:v>3.2258064516129031E-2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B5-41CE-A3D1-8FFF30C116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113824"/>
        <c:axId val="174117088"/>
      </c:barChart>
      <c:catAx>
        <c:axId val="17411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117088"/>
        <c:crosses val="autoZero"/>
        <c:auto val="1"/>
        <c:lblAlgn val="ctr"/>
        <c:lblOffset val="100"/>
        <c:noMultiLvlLbl val="0"/>
      </c:catAx>
      <c:valAx>
        <c:axId val="17411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113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[Encuesta Percepción.xlsx]Hoja1!Tabla dinámica50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Hoja1!$I$28:$I$29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Hoja1!$H$30:$H$32</c:f>
              <c:strCache>
                <c:ptCount val="2"/>
                <c:pt idx="0">
                  <c:v>Femenino</c:v>
                </c:pt>
                <c:pt idx="1">
                  <c:v>Masculino</c:v>
                </c:pt>
              </c:strCache>
            </c:strRef>
          </c:cat>
          <c:val>
            <c:numRef>
              <c:f>Hoja1!$I$30:$I$32</c:f>
              <c:numCache>
                <c:formatCode>0.00%</c:formatCode>
                <c:ptCount val="2"/>
                <c:pt idx="0">
                  <c:v>0.12903225806451613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02-4B9D-B6B9-70FE7DCBB08A}"/>
            </c:ext>
          </c:extLst>
        </c:ser>
        <c:ser>
          <c:idx val="1"/>
          <c:order val="1"/>
          <c:tx>
            <c:strRef>
              <c:f>Hoja1!$J$28:$J$29</c:f>
              <c:strCache>
                <c:ptCount val="1"/>
                <c:pt idx="0">
                  <c:v>Sí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Hoja1!$H$30:$H$32</c:f>
              <c:strCache>
                <c:ptCount val="2"/>
                <c:pt idx="0">
                  <c:v>Femenino</c:v>
                </c:pt>
                <c:pt idx="1">
                  <c:v>Masculino</c:v>
                </c:pt>
              </c:strCache>
            </c:strRef>
          </c:cat>
          <c:val>
            <c:numRef>
              <c:f>Hoja1!$J$30:$J$32</c:f>
              <c:numCache>
                <c:formatCode>0.00%</c:formatCode>
                <c:ptCount val="2"/>
                <c:pt idx="0">
                  <c:v>0.5161290322580645</c:v>
                </c:pt>
                <c:pt idx="1">
                  <c:v>0.35483870967741937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02-4B9D-B6B9-70FE7DCBB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5244240"/>
        <c:axId val="1858870256"/>
      </c:barChart>
      <c:catAx>
        <c:axId val="208524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58870256"/>
        <c:crosses val="autoZero"/>
        <c:auto val="1"/>
        <c:lblAlgn val="ctr"/>
        <c:lblOffset val="100"/>
        <c:noMultiLvlLbl val="0"/>
      </c:catAx>
      <c:valAx>
        <c:axId val="185887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524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[Encuesta Percepción.xlsx]Hoja2!Tabla dinámica2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100" b="1"/>
              <a:t>Conocimiento sobre</a:t>
            </a:r>
            <a:r>
              <a:rPr lang="es-CO" sz="1100" b="1" baseline="0"/>
              <a:t> el cambio climático respecto al nivel de educación</a:t>
            </a:r>
            <a:endParaRPr lang="es-CO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Hoja2!$B$3:$B$4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Hoja2!$A$5:$A$11</c:f>
              <c:strCache>
                <c:ptCount val="6"/>
                <c:pt idx="0">
                  <c:v>Básica secundaria </c:v>
                </c:pt>
                <c:pt idx="1">
                  <c:v>Bachiller</c:v>
                </c:pt>
                <c:pt idx="2">
                  <c:v>Técnico</c:v>
                </c:pt>
                <c:pt idx="3">
                  <c:v>Tecnólogo</c:v>
                </c:pt>
                <c:pt idx="4">
                  <c:v>Pregrado</c:v>
                </c:pt>
                <c:pt idx="5">
                  <c:v>Posgrado</c:v>
                </c:pt>
              </c:strCache>
            </c:strRef>
          </c:cat>
          <c:val>
            <c:numRef>
              <c:f>Hoja2!$B$5:$B$11</c:f>
              <c:numCache>
                <c:formatCode>0.00%</c:formatCode>
                <c:ptCount val="6"/>
                <c:pt idx="0">
                  <c:v>3.2258064516129031E-2</c:v>
                </c:pt>
                <c:pt idx="1">
                  <c:v>6.4516129032258063E-2</c:v>
                </c:pt>
                <c:pt idx="2">
                  <c:v>0</c:v>
                </c:pt>
                <c:pt idx="3">
                  <c:v>3.2258064516129031E-2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59-4967-902A-643731EB907C}"/>
            </c:ext>
          </c:extLst>
        </c:ser>
        <c:ser>
          <c:idx val="1"/>
          <c:order val="1"/>
          <c:tx>
            <c:strRef>
              <c:f>Hoja2!$C$3:$C$4</c:f>
              <c:strCache>
                <c:ptCount val="1"/>
                <c:pt idx="0">
                  <c:v>Sí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Hoja2!$A$5:$A$11</c:f>
              <c:strCache>
                <c:ptCount val="6"/>
                <c:pt idx="0">
                  <c:v>Básica secundaria </c:v>
                </c:pt>
                <c:pt idx="1">
                  <c:v>Bachiller</c:v>
                </c:pt>
                <c:pt idx="2">
                  <c:v>Técnico</c:v>
                </c:pt>
                <c:pt idx="3">
                  <c:v>Tecnólogo</c:v>
                </c:pt>
                <c:pt idx="4">
                  <c:v>Pregrado</c:v>
                </c:pt>
                <c:pt idx="5">
                  <c:v>Posgrado</c:v>
                </c:pt>
              </c:strCache>
            </c:strRef>
          </c:cat>
          <c:val>
            <c:numRef>
              <c:f>Hoja2!$C$5:$C$11</c:f>
              <c:numCache>
                <c:formatCode>0.00%</c:formatCode>
                <c:ptCount val="6"/>
                <c:pt idx="0">
                  <c:v>0</c:v>
                </c:pt>
                <c:pt idx="1">
                  <c:v>0.16129032258064516</c:v>
                </c:pt>
                <c:pt idx="2">
                  <c:v>0.38709677419354838</c:v>
                </c:pt>
                <c:pt idx="3">
                  <c:v>0.12903225806451613</c:v>
                </c:pt>
                <c:pt idx="4">
                  <c:v>0.16129032258064516</c:v>
                </c:pt>
                <c:pt idx="5">
                  <c:v>3.2258064516129031E-2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59-4967-902A-643731EB9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853920"/>
        <c:axId val="178849568"/>
      </c:barChart>
      <c:catAx>
        <c:axId val="17885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8849568"/>
        <c:crosses val="autoZero"/>
        <c:auto val="1"/>
        <c:lblAlgn val="ctr"/>
        <c:lblOffset val="100"/>
        <c:noMultiLvlLbl val="0"/>
      </c:catAx>
      <c:valAx>
        <c:axId val="17884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885392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[Encuesta Percepción.xlsx]Hoja1!Tabla dinámica47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100" b="1"/>
              <a:t>Conocimiento sobre el cambio Climático respecto al Género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Hoja1!$I$1:$I$2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Hoja1!$H$3:$H$7</c:f>
              <c:strCache>
                <c:ptCount val="4"/>
                <c:pt idx="0">
                  <c:v>15 - 25 años</c:v>
                </c:pt>
                <c:pt idx="1">
                  <c:v>26 - 35 años</c:v>
                </c:pt>
                <c:pt idx="2">
                  <c:v>36 - 45 años</c:v>
                </c:pt>
                <c:pt idx="3">
                  <c:v>más 55 años</c:v>
                </c:pt>
              </c:strCache>
            </c:strRef>
          </c:cat>
          <c:val>
            <c:numRef>
              <c:f>Hoja1!$I$3:$I$7</c:f>
              <c:numCache>
                <c:formatCode>0.00%</c:formatCode>
                <c:ptCount val="4"/>
                <c:pt idx="0">
                  <c:v>3.2258064516129031E-2</c:v>
                </c:pt>
                <c:pt idx="1">
                  <c:v>6.4516129032258063E-2</c:v>
                </c:pt>
                <c:pt idx="2">
                  <c:v>3.2258064516129031E-2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A8-40B1-9059-0F8D502E67C4}"/>
            </c:ext>
          </c:extLst>
        </c:ser>
        <c:ser>
          <c:idx val="1"/>
          <c:order val="1"/>
          <c:tx>
            <c:strRef>
              <c:f>Hoja1!$J$1:$J$2</c:f>
              <c:strCache>
                <c:ptCount val="1"/>
                <c:pt idx="0">
                  <c:v>Sí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Hoja1!$H$3:$H$7</c:f>
              <c:strCache>
                <c:ptCount val="4"/>
                <c:pt idx="0">
                  <c:v>15 - 25 años</c:v>
                </c:pt>
                <c:pt idx="1">
                  <c:v>26 - 35 años</c:v>
                </c:pt>
                <c:pt idx="2">
                  <c:v>36 - 45 años</c:v>
                </c:pt>
                <c:pt idx="3">
                  <c:v>más 55 años</c:v>
                </c:pt>
              </c:strCache>
            </c:strRef>
          </c:cat>
          <c:val>
            <c:numRef>
              <c:f>Hoja1!$J$3:$J$7</c:f>
              <c:numCache>
                <c:formatCode>0.00%</c:formatCode>
                <c:ptCount val="4"/>
                <c:pt idx="0">
                  <c:v>0.61290322580645162</c:v>
                </c:pt>
                <c:pt idx="1">
                  <c:v>6.4516129032258063E-2</c:v>
                </c:pt>
                <c:pt idx="2">
                  <c:v>0.16129032258064516</c:v>
                </c:pt>
                <c:pt idx="3">
                  <c:v>3.2258064516129031E-2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A8-40B1-9059-0F8D502E6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847392"/>
        <c:axId val="178852288"/>
      </c:barChart>
      <c:catAx>
        <c:axId val="17884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8852288"/>
        <c:crosses val="autoZero"/>
        <c:auto val="1"/>
        <c:lblAlgn val="ctr"/>
        <c:lblOffset val="100"/>
        <c:noMultiLvlLbl val="0"/>
      </c:catAx>
      <c:valAx>
        <c:axId val="17885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88473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[Encuesta Percepción.xlsx]Hoja1!Tabla dinámica50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100" b="1"/>
              <a:t>Conocimiento sobre el cambio climático respecto a la Edad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Hoja1!$I$28:$I$29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Hoja1!$H$30:$H$32</c:f>
              <c:strCache>
                <c:ptCount val="2"/>
                <c:pt idx="0">
                  <c:v>Femenino</c:v>
                </c:pt>
                <c:pt idx="1">
                  <c:v>Masculino</c:v>
                </c:pt>
              </c:strCache>
            </c:strRef>
          </c:cat>
          <c:val>
            <c:numRef>
              <c:f>Hoja1!$I$30:$I$32</c:f>
              <c:numCache>
                <c:formatCode>0.00%</c:formatCode>
                <c:ptCount val="2"/>
                <c:pt idx="0">
                  <c:v>0.12903225806451613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F2-41D5-A46B-21B0C7443862}"/>
            </c:ext>
          </c:extLst>
        </c:ser>
        <c:ser>
          <c:idx val="1"/>
          <c:order val="1"/>
          <c:tx>
            <c:strRef>
              <c:f>Hoja1!$J$28:$J$29</c:f>
              <c:strCache>
                <c:ptCount val="1"/>
                <c:pt idx="0">
                  <c:v>Sí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Hoja1!$H$30:$H$32</c:f>
              <c:strCache>
                <c:ptCount val="2"/>
                <c:pt idx="0">
                  <c:v>Femenino</c:v>
                </c:pt>
                <c:pt idx="1">
                  <c:v>Masculino</c:v>
                </c:pt>
              </c:strCache>
            </c:strRef>
          </c:cat>
          <c:val>
            <c:numRef>
              <c:f>Hoja1!$J$30:$J$32</c:f>
              <c:numCache>
                <c:formatCode>0.00%</c:formatCode>
                <c:ptCount val="2"/>
                <c:pt idx="0">
                  <c:v>0.5161290322580645</c:v>
                </c:pt>
                <c:pt idx="1">
                  <c:v>0.35483870967741937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F2-41D5-A46B-21B0C7443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854464"/>
        <c:axId val="178856096"/>
      </c:barChart>
      <c:catAx>
        <c:axId val="178854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8856096"/>
        <c:crosses val="autoZero"/>
        <c:auto val="1"/>
        <c:lblAlgn val="ctr"/>
        <c:lblOffset val="100"/>
        <c:noMultiLvlLbl val="0"/>
      </c:catAx>
      <c:valAx>
        <c:axId val="17885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88544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[Encuesta Percepción.xlsx]Hoja7!Tabla dinámica61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100" b="1"/>
              <a:t>Conocimiento de la</a:t>
            </a:r>
            <a:r>
              <a:rPr lang="es-CO" sz="1100" b="1" baseline="0"/>
              <a:t> Población al respecto del Cambio Climático y la Adaptacion</a:t>
            </a:r>
            <a:endParaRPr lang="es-CO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Hoja7!$F$3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891-404B-89D8-04656FCD21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891-404B-89D8-04656FCD219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891-404B-89D8-04656FCD21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Hoja7!$E$4:$E$7</c:f>
              <c:strCache>
                <c:ptCount val="3"/>
                <c:pt idx="0">
                  <c:v>Saben solo de cambio climático</c:v>
                </c:pt>
                <c:pt idx="1">
                  <c:v>Saben de ambos temas</c:v>
                </c:pt>
                <c:pt idx="2">
                  <c:v>No saben de ninguno de los dos</c:v>
                </c:pt>
              </c:strCache>
            </c:strRef>
          </c:cat>
          <c:val>
            <c:numRef>
              <c:f>Hoja7!$F$4:$F$7</c:f>
              <c:numCache>
                <c:formatCode>0.00%</c:formatCode>
                <c:ptCount val="3"/>
                <c:pt idx="0">
                  <c:v>0.32258064516129031</c:v>
                </c:pt>
                <c:pt idx="1">
                  <c:v>0.54838709677419351</c:v>
                </c:pt>
                <c:pt idx="2">
                  <c:v>0.12903225806451613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91-404B-89D8-04656FCD219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[Encuesta Percepción.xlsx]Graficas!Tabla dinámica58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¿Sabe</a:t>
            </a:r>
            <a:r>
              <a:rPr lang="en-US" sz="1100" b="1" baseline="0"/>
              <a:t> usted qué es adaptación del cambio climático?</a:t>
            </a:r>
            <a:endParaRPr lang="en-US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Graficas!$B$56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Graficas!$A$57:$A$59</c:f>
              <c:strCache>
                <c:ptCount val="2"/>
                <c:pt idx="0">
                  <c:v>No</c:v>
                </c:pt>
                <c:pt idx="1">
                  <c:v>Si</c:v>
                </c:pt>
              </c:strCache>
            </c:strRef>
          </c:cat>
          <c:val>
            <c:numRef>
              <c:f>Graficas!$B$57:$B$59</c:f>
              <c:numCache>
                <c:formatCode>0.00%</c:formatCode>
                <c:ptCount val="2"/>
                <c:pt idx="0">
                  <c:v>0.45161290322580644</c:v>
                </c:pt>
                <c:pt idx="1">
                  <c:v>0.54838709677419351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D1-486B-8CAE-B85055975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858272"/>
        <c:axId val="103159744"/>
      </c:barChart>
      <c:catAx>
        <c:axId val="17885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159744"/>
        <c:crosses val="autoZero"/>
        <c:auto val="1"/>
        <c:lblAlgn val="ctr"/>
        <c:lblOffset val="100"/>
        <c:noMultiLvlLbl val="0"/>
      </c:catAx>
      <c:valAx>
        <c:axId val="10315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88582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[Encuesta Percepción.xlsx]Hoja7!Tabla dinámica70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100" b="1"/>
              <a:t>¿Sabe usted qué es</a:t>
            </a:r>
            <a:r>
              <a:rPr lang="es-CO" sz="1100" b="1" baseline="0"/>
              <a:t> el </a:t>
            </a:r>
            <a:r>
              <a:rPr lang="es-CO" sz="1100" b="1"/>
              <a:t>cambio climático?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Hoja7!$D$36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Hoja7!$C$37:$C$39</c:f>
              <c:strCache>
                <c:ptCount val="2"/>
                <c:pt idx="0">
                  <c:v>No</c:v>
                </c:pt>
                <c:pt idx="1">
                  <c:v>Sí</c:v>
                </c:pt>
              </c:strCache>
            </c:strRef>
          </c:cat>
          <c:val>
            <c:numRef>
              <c:f>Hoja7!$D$37:$D$39</c:f>
              <c:numCache>
                <c:formatCode>0.00%</c:formatCode>
                <c:ptCount val="2"/>
                <c:pt idx="0">
                  <c:v>0.12903225806451613</c:v>
                </c:pt>
                <c:pt idx="1">
                  <c:v>0.87096774193548387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6C-49F4-B346-1CB2E52B6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153216"/>
        <c:axId val="104503440"/>
      </c:barChart>
      <c:catAx>
        <c:axId val="10315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503440"/>
        <c:crosses val="autoZero"/>
        <c:auto val="1"/>
        <c:lblAlgn val="ctr"/>
        <c:lblOffset val="100"/>
        <c:noMultiLvlLbl val="0"/>
      </c:catAx>
      <c:valAx>
        <c:axId val="10450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1532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[Encuesta Percepción.xlsx]Hoja7!Tabla dinámica73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100" b="1"/>
              <a:t>¿Sabe</a:t>
            </a:r>
            <a:r>
              <a:rPr lang="es-CO" sz="1100" b="1" baseline="0"/>
              <a:t> usted que es Cambio Climático? </a:t>
            </a:r>
          </a:p>
          <a:p>
            <a:pPr>
              <a:defRPr/>
            </a:pPr>
            <a:r>
              <a:rPr lang="es-CO" sz="1100" b="1" baseline="0"/>
              <a:t>(Por localidades)</a:t>
            </a:r>
            <a:endParaRPr lang="es-CO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Hoja7!$D$73:$D$74</c:f>
              <c:strCache>
                <c:ptCount val="1"/>
                <c:pt idx="0">
                  <c:v>La paz/Cesar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Hoja7!$C$75:$C$77</c:f>
              <c:strCache>
                <c:ptCount val="2"/>
                <c:pt idx="0">
                  <c:v>No</c:v>
                </c:pt>
                <c:pt idx="1">
                  <c:v>Sí</c:v>
                </c:pt>
              </c:strCache>
            </c:strRef>
          </c:cat>
          <c:val>
            <c:numRef>
              <c:f>Hoja7!$D$75:$D$77</c:f>
              <c:numCache>
                <c:formatCode>0.00%</c:formatCode>
                <c:ptCount val="2"/>
                <c:pt idx="0">
                  <c:v>3.2258064516129031E-2</c:v>
                </c:pt>
                <c:pt idx="1">
                  <c:v>0.22580645161290322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9B-46D3-BA12-C34A2EB63F06}"/>
            </c:ext>
          </c:extLst>
        </c:ser>
        <c:ser>
          <c:idx val="1"/>
          <c:order val="1"/>
          <c:tx>
            <c:strRef>
              <c:f>Hoja7!$E$73:$E$74</c:f>
              <c:strCache>
                <c:ptCount val="1"/>
                <c:pt idx="0">
                  <c:v>Palmira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Hoja7!$C$75:$C$77</c:f>
              <c:strCache>
                <c:ptCount val="2"/>
                <c:pt idx="0">
                  <c:v>No</c:v>
                </c:pt>
                <c:pt idx="1">
                  <c:v>Sí</c:v>
                </c:pt>
              </c:strCache>
            </c:strRef>
          </c:cat>
          <c:val>
            <c:numRef>
              <c:f>Hoja7!$E$75:$E$77</c:f>
              <c:numCache>
                <c:formatCode>0.00%</c:formatCode>
                <c:ptCount val="2"/>
                <c:pt idx="0">
                  <c:v>3.2258064516129031E-2</c:v>
                </c:pt>
                <c:pt idx="1">
                  <c:v>0.12903225806451613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9B-46D3-BA12-C34A2EB63F06}"/>
            </c:ext>
          </c:extLst>
        </c:ser>
        <c:ser>
          <c:idx val="2"/>
          <c:order val="2"/>
          <c:tx>
            <c:strRef>
              <c:f>Hoja7!$F$73:$F$74</c:f>
              <c:strCache>
                <c:ptCount val="1"/>
                <c:pt idx="0">
                  <c:v>Pradera</c:v>
                </c:pt>
              </c:strCache>
            </c:strRef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Hoja7!$C$75:$C$77</c:f>
              <c:strCache>
                <c:ptCount val="2"/>
                <c:pt idx="0">
                  <c:v>No</c:v>
                </c:pt>
                <c:pt idx="1">
                  <c:v>Sí</c:v>
                </c:pt>
              </c:strCache>
            </c:strRef>
          </c:cat>
          <c:val>
            <c:numRef>
              <c:f>Hoja7!$F$75:$F$77</c:f>
              <c:numCache>
                <c:formatCode>0.00%</c:formatCode>
                <c:ptCount val="2"/>
                <c:pt idx="0">
                  <c:v>6.4516129032258063E-2</c:v>
                </c:pt>
                <c:pt idx="1">
                  <c:v>0.5161290322580645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9B-46D3-BA12-C34A2EB63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504528"/>
        <c:axId val="104495824"/>
      </c:barChart>
      <c:catAx>
        <c:axId val="10450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495824"/>
        <c:crosses val="autoZero"/>
        <c:auto val="1"/>
        <c:lblAlgn val="ctr"/>
        <c:lblOffset val="100"/>
        <c:noMultiLvlLbl val="0"/>
      </c:catAx>
      <c:valAx>
        <c:axId val="10449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5045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[Encuesta Percepción.xlsx]Hoja7!Tabla dinámica77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100"/>
              <a:t>¿Que</a:t>
            </a:r>
            <a:r>
              <a:rPr lang="es-CO" sz="1100" baseline="0"/>
              <a:t> nivel de acceso tiene a la  informacion sobre cambio climatico y su impacto? (Edad)</a:t>
            </a:r>
            <a:endParaRPr lang="es-CO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Hoja7!$G$111:$G$112</c:f>
              <c:strCache>
                <c:ptCount val="1"/>
                <c:pt idx="0">
                  <c:v>Acceso moderado a información.</c:v>
                </c:pt>
              </c:strCache>
            </c:strRef>
          </c:tx>
          <c:spPr>
            <a:solidFill>
              <a:schemeClr val="accent6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Hoja7!$F$113:$F$117</c:f>
              <c:strCache>
                <c:ptCount val="4"/>
                <c:pt idx="0">
                  <c:v>15 - 25 años</c:v>
                </c:pt>
                <c:pt idx="1">
                  <c:v>26 - 35 años</c:v>
                </c:pt>
                <c:pt idx="2">
                  <c:v>36 - 45 años</c:v>
                </c:pt>
                <c:pt idx="3">
                  <c:v>más 55 años</c:v>
                </c:pt>
              </c:strCache>
            </c:strRef>
          </c:cat>
          <c:val>
            <c:numRef>
              <c:f>Hoja7!$G$113:$G$117</c:f>
              <c:numCache>
                <c:formatCode>0.00%</c:formatCode>
                <c:ptCount val="4"/>
                <c:pt idx="0">
                  <c:v>0.35483870967741937</c:v>
                </c:pt>
                <c:pt idx="1">
                  <c:v>0</c:v>
                </c:pt>
                <c:pt idx="2">
                  <c:v>0.12903225806451613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BE-465A-A797-C0A154831DF9}"/>
            </c:ext>
          </c:extLst>
        </c:ser>
        <c:ser>
          <c:idx val="1"/>
          <c:order val="1"/>
          <c:tx>
            <c:strRef>
              <c:f>Hoja7!$H$111:$H$112</c:f>
              <c:strCache>
                <c:ptCount val="1"/>
                <c:pt idx="0">
                  <c:v>Fácil acceso a información detallada.</c:v>
                </c:pt>
              </c:strCache>
            </c:strRef>
          </c:tx>
          <c:spPr>
            <a:solidFill>
              <a:schemeClr val="accent6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Hoja7!$F$113:$F$117</c:f>
              <c:strCache>
                <c:ptCount val="4"/>
                <c:pt idx="0">
                  <c:v>15 - 25 años</c:v>
                </c:pt>
                <c:pt idx="1">
                  <c:v>26 - 35 años</c:v>
                </c:pt>
                <c:pt idx="2">
                  <c:v>36 - 45 años</c:v>
                </c:pt>
                <c:pt idx="3">
                  <c:v>más 55 años</c:v>
                </c:pt>
              </c:strCache>
            </c:strRef>
          </c:cat>
          <c:val>
            <c:numRef>
              <c:f>Hoja7!$H$113:$H$117</c:f>
              <c:numCache>
                <c:formatCode>0.00%</c:formatCode>
                <c:ptCount val="4"/>
                <c:pt idx="0">
                  <c:v>0.12903225806451613</c:v>
                </c:pt>
                <c:pt idx="1">
                  <c:v>6.4516129032258063E-2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BE-465A-A797-C0A154831DF9}"/>
            </c:ext>
          </c:extLst>
        </c:ser>
        <c:ser>
          <c:idx val="2"/>
          <c:order val="2"/>
          <c:tx>
            <c:strRef>
              <c:f>Hoja7!$I$111:$I$112</c:f>
              <c:strCache>
                <c:ptCount val="1"/>
                <c:pt idx="0">
                  <c:v>No tengo acceso a información.</c:v>
                </c:pt>
              </c:strCache>
            </c:strRef>
          </c:tx>
          <c:spPr>
            <a:solidFill>
              <a:schemeClr val="accent6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Hoja7!$F$113:$F$117</c:f>
              <c:strCache>
                <c:ptCount val="4"/>
                <c:pt idx="0">
                  <c:v>15 - 25 años</c:v>
                </c:pt>
                <c:pt idx="1">
                  <c:v>26 - 35 años</c:v>
                </c:pt>
                <c:pt idx="2">
                  <c:v>36 - 45 años</c:v>
                </c:pt>
                <c:pt idx="3">
                  <c:v>más 55 años</c:v>
                </c:pt>
              </c:strCache>
            </c:strRef>
          </c:cat>
          <c:val>
            <c:numRef>
              <c:f>Hoja7!$I$113:$I$117</c:f>
              <c:numCache>
                <c:formatCode>0.00%</c:formatCode>
                <c:ptCount val="4"/>
                <c:pt idx="0">
                  <c:v>3.2258064516129031E-2</c:v>
                </c:pt>
                <c:pt idx="1">
                  <c:v>0</c:v>
                </c:pt>
                <c:pt idx="2">
                  <c:v>3.2258064516129031E-2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BE-465A-A797-C0A154831DF9}"/>
            </c:ext>
          </c:extLst>
        </c:ser>
        <c:ser>
          <c:idx val="3"/>
          <c:order val="3"/>
          <c:tx>
            <c:strRef>
              <c:f>Hoja7!$J$111:$J$112</c:f>
              <c:strCache>
                <c:ptCount val="1"/>
                <c:pt idx="0">
                  <c:v>Poco acceso a información.</c:v>
                </c:pt>
              </c:strCache>
            </c:strRef>
          </c:tx>
          <c:spPr>
            <a:solidFill>
              <a:schemeClr val="accent6">
                <a:tint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Hoja7!$F$113:$F$117</c:f>
              <c:strCache>
                <c:ptCount val="4"/>
                <c:pt idx="0">
                  <c:v>15 - 25 años</c:v>
                </c:pt>
                <c:pt idx="1">
                  <c:v>26 - 35 años</c:v>
                </c:pt>
                <c:pt idx="2">
                  <c:v>36 - 45 años</c:v>
                </c:pt>
                <c:pt idx="3">
                  <c:v>más 55 años</c:v>
                </c:pt>
              </c:strCache>
            </c:strRef>
          </c:cat>
          <c:val>
            <c:numRef>
              <c:f>Hoja7!$J$113:$J$117</c:f>
              <c:numCache>
                <c:formatCode>0.00%</c:formatCode>
                <c:ptCount val="4"/>
                <c:pt idx="0">
                  <c:v>0.12903225806451613</c:v>
                </c:pt>
                <c:pt idx="1">
                  <c:v>6.4516129032258063E-2</c:v>
                </c:pt>
                <c:pt idx="2">
                  <c:v>3.2258064516129031E-2</c:v>
                </c:pt>
                <c:pt idx="3">
                  <c:v>3.2258064516129031E-2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BE-465A-A797-C0A154831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987680"/>
        <c:axId val="139989856"/>
      </c:barChart>
      <c:catAx>
        <c:axId val="13998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9989856"/>
        <c:crosses val="autoZero"/>
        <c:auto val="1"/>
        <c:lblAlgn val="ctr"/>
        <c:lblOffset val="100"/>
        <c:noMultiLvlLbl val="0"/>
      </c:catAx>
      <c:valAx>
        <c:axId val="13998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99876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[Encuesta Percepción.xlsx]Hoja7!Tabla dinámica79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100"/>
              <a:t>¿Como prefieres recibir informacion sobre temas de cambio climatios</a:t>
            </a:r>
            <a:r>
              <a:rPr lang="es-CO" sz="1100" baseline="0"/>
              <a:t> y estrategias se adaptacion?</a:t>
            </a:r>
            <a:endParaRPr lang="es-CO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Hoja7!$G$149:$G$150</c:f>
              <c:strCache>
                <c:ptCount val="1"/>
                <c:pt idx="0">
                  <c:v>A través de redes sociales.</c:v>
                </c:pt>
              </c:strCache>
            </c:strRef>
          </c:tx>
          <c:spPr>
            <a:solidFill>
              <a:schemeClr val="accent2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Hoja7!$F$151:$F$155</c:f>
              <c:strCache>
                <c:ptCount val="4"/>
                <c:pt idx="0">
                  <c:v>15 - 25 años</c:v>
                </c:pt>
                <c:pt idx="1">
                  <c:v>26 - 35 años</c:v>
                </c:pt>
                <c:pt idx="2">
                  <c:v>36 - 45 años</c:v>
                </c:pt>
                <c:pt idx="3">
                  <c:v>más 55 años</c:v>
                </c:pt>
              </c:strCache>
            </c:strRef>
          </c:cat>
          <c:val>
            <c:numRef>
              <c:f>Hoja7!$G$151:$G$155</c:f>
              <c:numCache>
                <c:formatCode>0.00%</c:formatCode>
                <c:ptCount val="4"/>
                <c:pt idx="0">
                  <c:v>0.35483870967741937</c:v>
                </c:pt>
                <c:pt idx="1">
                  <c:v>6.4516129032258063E-2</c:v>
                </c:pt>
                <c:pt idx="2">
                  <c:v>0.12903225806451613</c:v>
                </c:pt>
                <c:pt idx="3">
                  <c:v>3.2258064516129031E-2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F6-438E-ADA0-E3A1376CC3E1}"/>
            </c:ext>
          </c:extLst>
        </c:ser>
        <c:ser>
          <c:idx val="1"/>
          <c:order val="1"/>
          <c:tx>
            <c:strRef>
              <c:f>Hoja7!$H$149:$H$150</c:f>
              <c:strCache>
                <c:ptCount val="1"/>
                <c:pt idx="0">
                  <c:v>Artículos científicos.</c:v>
                </c:pt>
              </c:strCache>
            </c:strRef>
          </c:tx>
          <c:spPr>
            <a:solidFill>
              <a:schemeClr val="accent2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Hoja7!$F$151:$F$155</c:f>
              <c:strCache>
                <c:ptCount val="4"/>
                <c:pt idx="0">
                  <c:v>15 - 25 años</c:v>
                </c:pt>
                <c:pt idx="1">
                  <c:v>26 - 35 años</c:v>
                </c:pt>
                <c:pt idx="2">
                  <c:v>36 - 45 años</c:v>
                </c:pt>
                <c:pt idx="3">
                  <c:v>más 55 años</c:v>
                </c:pt>
              </c:strCache>
            </c:strRef>
          </c:cat>
          <c:val>
            <c:numRef>
              <c:f>Hoja7!$H$151:$H$155</c:f>
              <c:numCache>
                <c:formatCode>0.00%</c:formatCode>
                <c:ptCount val="4"/>
                <c:pt idx="0">
                  <c:v>3.2258064516129031E-2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F6-438E-ADA0-E3A1376CC3E1}"/>
            </c:ext>
          </c:extLst>
        </c:ser>
        <c:ser>
          <c:idx val="2"/>
          <c:order val="2"/>
          <c:tx>
            <c:strRef>
              <c:f>Hoja7!$I$149:$I$150</c:f>
              <c:strCache>
                <c:ptCount val="1"/>
                <c:pt idx="0">
                  <c:v>Materiales impresos (folletos, libros).</c:v>
                </c:pt>
              </c:strCache>
            </c:strRef>
          </c:tx>
          <c:spPr>
            <a:solidFill>
              <a:schemeClr val="accent2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Hoja7!$F$151:$F$155</c:f>
              <c:strCache>
                <c:ptCount val="4"/>
                <c:pt idx="0">
                  <c:v>15 - 25 años</c:v>
                </c:pt>
                <c:pt idx="1">
                  <c:v>26 - 35 años</c:v>
                </c:pt>
                <c:pt idx="2">
                  <c:v>36 - 45 años</c:v>
                </c:pt>
                <c:pt idx="3">
                  <c:v>más 55 años</c:v>
                </c:pt>
              </c:strCache>
            </c:strRef>
          </c:cat>
          <c:val>
            <c:numRef>
              <c:f>Hoja7!$I$151:$I$155</c:f>
              <c:numCache>
                <c:formatCode>0.00%</c:formatCode>
                <c:ptCount val="4"/>
                <c:pt idx="0">
                  <c:v>9.6774193548387094E-2</c:v>
                </c:pt>
                <c:pt idx="1">
                  <c:v>0</c:v>
                </c:pt>
                <c:pt idx="2">
                  <c:v>3.2258064516129031E-2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F6-438E-ADA0-E3A1376CC3E1}"/>
            </c:ext>
          </c:extLst>
        </c:ser>
        <c:ser>
          <c:idx val="3"/>
          <c:order val="3"/>
          <c:tx>
            <c:strRef>
              <c:f>Hoja7!$J$149:$J$150</c:f>
              <c:strCache>
                <c:ptCount val="1"/>
                <c:pt idx="0">
                  <c:v>Talleres o seminarios.</c:v>
                </c:pt>
              </c:strCache>
            </c:strRef>
          </c:tx>
          <c:spPr>
            <a:solidFill>
              <a:schemeClr val="accent2">
                <a:tint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Hoja7!$F$151:$F$155</c:f>
              <c:strCache>
                <c:ptCount val="4"/>
                <c:pt idx="0">
                  <c:v>15 - 25 años</c:v>
                </c:pt>
                <c:pt idx="1">
                  <c:v>26 - 35 años</c:v>
                </c:pt>
                <c:pt idx="2">
                  <c:v>36 - 45 años</c:v>
                </c:pt>
                <c:pt idx="3">
                  <c:v>más 55 años</c:v>
                </c:pt>
              </c:strCache>
            </c:strRef>
          </c:cat>
          <c:val>
            <c:numRef>
              <c:f>Hoja7!$J$151:$J$155</c:f>
              <c:numCache>
                <c:formatCode>0.00%</c:formatCode>
                <c:ptCount val="4"/>
                <c:pt idx="0">
                  <c:v>0.16129032258064516</c:v>
                </c:pt>
                <c:pt idx="1">
                  <c:v>6.4516129032258063E-2</c:v>
                </c:pt>
                <c:pt idx="2">
                  <c:v>3.2258064516129031E-2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F6-438E-ADA0-E3A1376CC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0067328"/>
        <c:axId val="400067872"/>
      </c:barChart>
      <c:catAx>
        <c:axId val="40006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0067872"/>
        <c:crosses val="autoZero"/>
        <c:auto val="1"/>
        <c:lblAlgn val="ctr"/>
        <c:lblOffset val="100"/>
        <c:noMultiLvlLbl val="0"/>
      </c:catAx>
      <c:valAx>
        <c:axId val="40006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00673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[Encuesta Percepción.xlsx]Hoja7!Tabla dinámica83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¿Usted tiene conocimiento de proyectos o actividades que se hayan realizado sobre</a:t>
            </a:r>
          </a:p>
          <a:p>
            <a:pPr>
              <a:defRPr/>
            </a:pPr>
            <a:r>
              <a:rPr lang="en-US" sz="1100" b="1"/>
              <a:t>cambio climático en su municipio?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Hoja7!$D$189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Hoja7!$C$190:$C$192</c:f>
              <c:strCache>
                <c:ptCount val="2"/>
                <c:pt idx="0">
                  <c:v>No</c:v>
                </c:pt>
                <c:pt idx="1">
                  <c:v>Sí</c:v>
                </c:pt>
              </c:strCache>
            </c:strRef>
          </c:cat>
          <c:val>
            <c:numRef>
              <c:f>Hoja7!$D$190:$D$192</c:f>
              <c:numCache>
                <c:formatCode>0.00%</c:formatCode>
                <c:ptCount val="2"/>
                <c:pt idx="0">
                  <c:v>0.80645161290322576</c:v>
                </c:pt>
                <c:pt idx="1">
                  <c:v>0.19354838709677419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FB-46DF-8354-357FA3234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983328"/>
        <c:axId val="2008242576"/>
      </c:barChart>
      <c:catAx>
        <c:axId val="13998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08242576"/>
        <c:crosses val="autoZero"/>
        <c:auto val="1"/>
        <c:lblAlgn val="ctr"/>
        <c:lblOffset val="100"/>
        <c:noMultiLvlLbl val="0"/>
      </c:catAx>
      <c:valAx>
        <c:axId val="200824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99833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[Encuesta Percepción.xlsx]Graficas!Tabla dinámica86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100" b="1"/>
              <a:t>¿Usted ha participado en actividades para adaptar su municipio al cambio climático?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Graficas!$B$207:$B$208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Graficas!$A$209:$A$213</c:f>
              <c:strCache>
                <c:ptCount val="4"/>
                <c:pt idx="0">
                  <c:v>15 - 25 años</c:v>
                </c:pt>
                <c:pt idx="1">
                  <c:v>26 - 35 años</c:v>
                </c:pt>
                <c:pt idx="2">
                  <c:v>36 - 45 años</c:v>
                </c:pt>
                <c:pt idx="3">
                  <c:v>más 55 años</c:v>
                </c:pt>
              </c:strCache>
            </c:strRef>
          </c:cat>
          <c:val>
            <c:numRef>
              <c:f>Graficas!$B$209:$B$213</c:f>
              <c:numCache>
                <c:formatCode>0.00%</c:formatCode>
                <c:ptCount val="4"/>
                <c:pt idx="0">
                  <c:v>0.64516129032258063</c:v>
                </c:pt>
                <c:pt idx="1">
                  <c:v>0.12903225806451613</c:v>
                </c:pt>
                <c:pt idx="2">
                  <c:v>0.19354838709677419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09-4795-A8CF-DAC84E3E4BEE}"/>
            </c:ext>
          </c:extLst>
        </c:ser>
        <c:ser>
          <c:idx val="1"/>
          <c:order val="1"/>
          <c:tx>
            <c:strRef>
              <c:f>Graficas!$C$207:$C$208</c:f>
              <c:strCache>
                <c:ptCount val="1"/>
                <c:pt idx="0">
                  <c:v>Sí	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Graficas!$A$209:$A$213</c:f>
              <c:strCache>
                <c:ptCount val="4"/>
                <c:pt idx="0">
                  <c:v>15 - 25 años</c:v>
                </c:pt>
                <c:pt idx="1">
                  <c:v>26 - 35 años</c:v>
                </c:pt>
                <c:pt idx="2">
                  <c:v>36 - 45 años</c:v>
                </c:pt>
                <c:pt idx="3">
                  <c:v>más 55 años</c:v>
                </c:pt>
              </c:strCache>
            </c:strRef>
          </c:cat>
          <c:val>
            <c:numRef>
              <c:f>Graficas!$C$209:$C$213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3.2258064516129031E-2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09-4795-A8CF-DAC84E3E4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664624"/>
        <c:axId val="170655920"/>
      </c:barChart>
      <c:catAx>
        <c:axId val="17066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0655920"/>
        <c:crosses val="autoZero"/>
        <c:auto val="1"/>
        <c:lblAlgn val="ctr"/>
        <c:lblOffset val="100"/>
        <c:noMultiLvlLbl val="0"/>
      </c:catAx>
      <c:valAx>
        <c:axId val="17065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06646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[Encuesta Percepción.xlsx]Graficas!Tabla dinámica88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100" b="1"/>
              <a:t>¿Ha participado en talleres, seminarios, reuniones o conversatorios donde se hayan</a:t>
            </a:r>
          </a:p>
          <a:p>
            <a:pPr>
              <a:defRPr/>
            </a:pPr>
            <a:r>
              <a:rPr lang="es-CO" sz="1100" b="1"/>
              <a:t>tratado temas relacionados con el cambio climático?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Graficas!$B$228:$B$229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Graficas!$A$230:$A$234</c:f>
              <c:strCache>
                <c:ptCount val="4"/>
                <c:pt idx="0">
                  <c:v>15 - 25 años</c:v>
                </c:pt>
                <c:pt idx="1">
                  <c:v>26 - 35 años</c:v>
                </c:pt>
                <c:pt idx="2">
                  <c:v>36 - 45 años</c:v>
                </c:pt>
                <c:pt idx="3">
                  <c:v>más 55 años</c:v>
                </c:pt>
              </c:strCache>
            </c:strRef>
          </c:cat>
          <c:val>
            <c:numRef>
              <c:f>Graficas!$B$230:$B$234</c:f>
              <c:numCache>
                <c:formatCode>0.00%</c:formatCode>
                <c:ptCount val="4"/>
                <c:pt idx="0">
                  <c:v>0.38709677419354838</c:v>
                </c:pt>
                <c:pt idx="1">
                  <c:v>6.4516129032258063E-2</c:v>
                </c:pt>
                <c:pt idx="2">
                  <c:v>9.6774193548387094E-2</c:v>
                </c:pt>
                <c:pt idx="3">
                  <c:v>3.2258064516129031E-2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A4-4171-8B7B-CCC3C109A47B}"/>
            </c:ext>
          </c:extLst>
        </c:ser>
        <c:ser>
          <c:idx val="1"/>
          <c:order val="1"/>
          <c:tx>
            <c:strRef>
              <c:f>Graficas!$C$228:$C$229</c:f>
              <c:strCache>
                <c:ptCount val="1"/>
                <c:pt idx="0">
                  <c:v>Sí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Graficas!$A$230:$A$234</c:f>
              <c:strCache>
                <c:ptCount val="4"/>
                <c:pt idx="0">
                  <c:v>15 - 25 años</c:v>
                </c:pt>
                <c:pt idx="1">
                  <c:v>26 - 35 años</c:v>
                </c:pt>
                <c:pt idx="2">
                  <c:v>36 - 45 años</c:v>
                </c:pt>
                <c:pt idx="3">
                  <c:v>más 55 años</c:v>
                </c:pt>
              </c:strCache>
            </c:strRef>
          </c:cat>
          <c:val>
            <c:numRef>
              <c:f>Graficas!$C$230:$C$234</c:f>
              <c:numCache>
                <c:formatCode>0.00%</c:formatCode>
                <c:ptCount val="4"/>
                <c:pt idx="0">
                  <c:v>0.25806451612903225</c:v>
                </c:pt>
                <c:pt idx="1">
                  <c:v>6.4516129032258063E-2</c:v>
                </c:pt>
                <c:pt idx="2">
                  <c:v>9.6774193548387094E-2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A4-4171-8B7B-CCC3C109A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659728"/>
        <c:axId val="170666800"/>
      </c:barChart>
      <c:catAx>
        <c:axId val="170659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0666800"/>
        <c:crosses val="autoZero"/>
        <c:auto val="1"/>
        <c:lblAlgn val="ctr"/>
        <c:lblOffset val="100"/>
        <c:noMultiLvlLbl val="0"/>
      </c:catAx>
      <c:valAx>
        <c:axId val="17066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06597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[Encuesta Percepción.xlsx]Graficas!Tabla dinámica91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Residencia de permanencia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Graficas!$B$275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Graficas!$A$276:$A$279</c:f>
              <c:strCache>
                <c:ptCount val="3"/>
                <c:pt idx="0">
                  <c:v>La paz/Cesar</c:v>
                </c:pt>
                <c:pt idx="1">
                  <c:v>Palmira</c:v>
                </c:pt>
                <c:pt idx="2">
                  <c:v>Pradera</c:v>
                </c:pt>
              </c:strCache>
            </c:strRef>
          </c:cat>
          <c:val>
            <c:numRef>
              <c:f>Graficas!$B$276:$B$279</c:f>
              <c:numCache>
                <c:formatCode>0.00%</c:formatCode>
                <c:ptCount val="3"/>
                <c:pt idx="0">
                  <c:v>0.25806451612903225</c:v>
                </c:pt>
                <c:pt idx="1">
                  <c:v>0.16129032258064516</c:v>
                </c:pt>
                <c:pt idx="2">
                  <c:v>0.58064516129032262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F0-4B2A-BE11-BD678EA3A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0062432"/>
        <c:axId val="178850656"/>
      </c:barChart>
      <c:catAx>
        <c:axId val="40006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8850656"/>
        <c:crosses val="autoZero"/>
        <c:auto val="1"/>
        <c:lblAlgn val="ctr"/>
        <c:lblOffset val="100"/>
        <c:noMultiLvlLbl val="0"/>
      </c:catAx>
      <c:valAx>
        <c:axId val="17885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00624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[Encuesta Percepción.xlsx]Graficas!Tabla dinámica93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Área de Residencia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Graficas!$B$294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Graficas!$A$295:$A$297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Graficas!$B$295:$B$297</c:f>
              <c:numCache>
                <c:formatCode>0.00%</c:formatCode>
                <c:ptCount val="2"/>
                <c:pt idx="0">
                  <c:v>9.6774193548387094E-2</c:v>
                </c:pt>
                <c:pt idx="1">
                  <c:v>0.90322580645161288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A5-4316-B4D3-09CFBE3B3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713488"/>
        <c:axId val="173708592"/>
      </c:barChart>
      <c:catAx>
        <c:axId val="17371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3708592"/>
        <c:crosses val="autoZero"/>
        <c:auto val="1"/>
        <c:lblAlgn val="ctr"/>
        <c:lblOffset val="100"/>
        <c:noMultiLvlLbl val="0"/>
      </c:catAx>
      <c:valAx>
        <c:axId val="17370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37134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[Encuesta Percepción.xlsx]Graficas!Tabla dinámica98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Ocupaciones de la Poblacion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Graficas!$B$314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Graficas!$A$315:$A$323</c:f>
              <c:strCache>
                <c:ptCount val="8"/>
                <c:pt idx="0">
                  <c:v>Ama de casa </c:v>
                </c:pt>
                <c:pt idx="1">
                  <c:v>Auxiliar de cocina </c:v>
                </c:pt>
                <c:pt idx="2">
                  <c:v>Biotecnologo</c:v>
                </c:pt>
                <c:pt idx="3">
                  <c:v>Comerciante</c:v>
                </c:pt>
                <c:pt idx="4">
                  <c:v>Comerciante </c:v>
                </c:pt>
                <c:pt idx="5">
                  <c:v>Estudiante</c:v>
                </c:pt>
                <c:pt idx="6">
                  <c:v>Estudiante </c:v>
                </c:pt>
                <c:pt idx="7">
                  <c:v>Profesor</c:v>
                </c:pt>
              </c:strCache>
            </c:strRef>
          </c:cat>
          <c:val>
            <c:numRef>
              <c:f>Graficas!$B$315:$B$323</c:f>
              <c:numCache>
                <c:formatCode>0.00%</c:formatCode>
                <c:ptCount val="8"/>
                <c:pt idx="0">
                  <c:v>0.12903225806451613</c:v>
                </c:pt>
                <c:pt idx="1">
                  <c:v>0.12903225806451613</c:v>
                </c:pt>
                <c:pt idx="2">
                  <c:v>3.2258064516129031E-2</c:v>
                </c:pt>
                <c:pt idx="3">
                  <c:v>6.4516129032258063E-2</c:v>
                </c:pt>
                <c:pt idx="4">
                  <c:v>0.19354838709677419</c:v>
                </c:pt>
                <c:pt idx="5">
                  <c:v>0.22580645161290322</c:v>
                </c:pt>
                <c:pt idx="6">
                  <c:v>0.16129032258064516</c:v>
                </c:pt>
                <c:pt idx="7">
                  <c:v>6.4516129032258063E-2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B0-4929-A4B9-EB2DC6B1B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1768336"/>
        <c:axId val="411766704"/>
      </c:barChart>
      <c:catAx>
        <c:axId val="41176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11766704"/>
        <c:crosses val="autoZero"/>
        <c:auto val="1"/>
        <c:lblAlgn val="ctr"/>
        <c:lblOffset val="100"/>
        <c:noMultiLvlLbl val="0"/>
      </c:catAx>
      <c:valAx>
        <c:axId val="41176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11768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[Encuesta Percepción.xlsx]Graficas!Tabla dinámica100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Género</a:t>
            </a:r>
            <a:r>
              <a:rPr lang="en-US" b="1" baseline="0"/>
              <a:t> de la población</a:t>
            </a:r>
            <a:endParaRPr lang="en-US" b="1"/>
          </a:p>
        </c:rich>
      </c:tx>
      <c:layout>
        <c:manualLayout>
          <c:xMode val="edge"/>
          <c:yMode val="edge"/>
          <c:x val="0.30893044619422572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Graficas!$B$333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Graficas!$A$334:$A$336</c:f>
              <c:strCache>
                <c:ptCount val="2"/>
                <c:pt idx="0">
                  <c:v>Femenino</c:v>
                </c:pt>
                <c:pt idx="1">
                  <c:v>Masculino</c:v>
                </c:pt>
              </c:strCache>
            </c:strRef>
          </c:cat>
          <c:val>
            <c:numRef>
              <c:f>Graficas!$B$334:$B$336</c:f>
              <c:numCache>
                <c:formatCode>0.00%</c:formatCode>
                <c:ptCount val="2"/>
                <c:pt idx="0">
                  <c:v>0.64516129032258063</c:v>
                </c:pt>
                <c:pt idx="1">
                  <c:v>0.35483870967741937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A6-4D96-B395-0A74999C4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1771600"/>
        <c:axId val="411767792"/>
      </c:barChart>
      <c:catAx>
        <c:axId val="41177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11767792"/>
        <c:crosses val="autoZero"/>
        <c:auto val="1"/>
        <c:lblAlgn val="ctr"/>
        <c:lblOffset val="100"/>
        <c:noMultiLvlLbl val="0"/>
      </c:catAx>
      <c:valAx>
        <c:axId val="41176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117716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[Encuesta Percepción.xlsx]Graficas!Tabla dinámica102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Edad de la Población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Graficas!$B$353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Graficas!$A$354:$A$358</c:f>
              <c:strCache>
                <c:ptCount val="4"/>
                <c:pt idx="0">
                  <c:v>15 - 25 años</c:v>
                </c:pt>
                <c:pt idx="1">
                  <c:v>26 - 35 años</c:v>
                </c:pt>
                <c:pt idx="2">
                  <c:v>36 - 45 años</c:v>
                </c:pt>
                <c:pt idx="3">
                  <c:v>más 55 años</c:v>
                </c:pt>
              </c:strCache>
            </c:strRef>
          </c:cat>
          <c:val>
            <c:numRef>
              <c:f>Graficas!$B$354:$B$358</c:f>
              <c:numCache>
                <c:formatCode>0.00%</c:formatCode>
                <c:ptCount val="4"/>
                <c:pt idx="0">
                  <c:v>0.64516129032258063</c:v>
                </c:pt>
                <c:pt idx="1">
                  <c:v>0.12903225806451613</c:v>
                </c:pt>
                <c:pt idx="2">
                  <c:v>0.19354838709677419</c:v>
                </c:pt>
                <c:pt idx="3">
                  <c:v>3.2258064516129031E-2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9D-4A9E-9383-E6A8E1EE0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636880"/>
        <c:axId val="170637968"/>
      </c:barChart>
      <c:catAx>
        <c:axId val="170636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0637968"/>
        <c:crosses val="autoZero"/>
        <c:auto val="1"/>
        <c:lblAlgn val="ctr"/>
        <c:lblOffset val="100"/>
        <c:noMultiLvlLbl val="0"/>
      </c:catAx>
      <c:valAx>
        <c:axId val="17063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06368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[Encuesta Percepción.xlsx]Graficas!PivotTable1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s-CO" sz="11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¿Sabe usted qué es la adaptación al cambio climático?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Graficas!$B$129:$B$130</c:f>
              <c:strCache>
                <c:ptCount val="1"/>
                <c:pt idx="0">
                  <c:v>La paz/Cesar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Graficas!$A$131:$A$133</c:f>
              <c:strCache>
                <c:ptCount val="2"/>
                <c:pt idx="0">
                  <c:v>No</c:v>
                </c:pt>
                <c:pt idx="1">
                  <c:v>Sí</c:v>
                </c:pt>
              </c:strCache>
            </c:strRef>
          </c:cat>
          <c:val>
            <c:numRef>
              <c:f>Graficas!$B$131:$B$133</c:f>
              <c:numCache>
                <c:formatCode>0.00%</c:formatCode>
                <c:ptCount val="2"/>
                <c:pt idx="0">
                  <c:v>9.6774193548387094E-2</c:v>
                </c:pt>
                <c:pt idx="1">
                  <c:v>0.16129032258064516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51-47C8-8224-1A430ADE1139}"/>
            </c:ext>
          </c:extLst>
        </c:ser>
        <c:ser>
          <c:idx val="1"/>
          <c:order val="1"/>
          <c:tx>
            <c:strRef>
              <c:f>Graficas!$C$129:$C$130</c:f>
              <c:strCache>
                <c:ptCount val="1"/>
                <c:pt idx="0">
                  <c:v>Palmira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Graficas!$A$131:$A$133</c:f>
              <c:strCache>
                <c:ptCount val="2"/>
                <c:pt idx="0">
                  <c:v>No</c:v>
                </c:pt>
                <c:pt idx="1">
                  <c:v>Sí</c:v>
                </c:pt>
              </c:strCache>
            </c:strRef>
          </c:cat>
          <c:val>
            <c:numRef>
              <c:f>Graficas!$C$131:$C$133</c:f>
              <c:numCache>
                <c:formatCode>0.00%</c:formatCode>
                <c:ptCount val="2"/>
                <c:pt idx="0">
                  <c:v>9.6774193548387094E-2</c:v>
                </c:pt>
                <c:pt idx="1">
                  <c:v>6.4516129032258063E-2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51-47C8-8224-1A430ADE1139}"/>
            </c:ext>
          </c:extLst>
        </c:ser>
        <c:ser>
          <c:idx val="2"/>
          <c:order val="2"/>
          <c:tx>
            <c:strRef>
              <c:f>Graficas!$D$129:$D$130</c:f>
              <c:strCache>
                <c:ptCount val="1"/>
                <c:pt idx="0">
                  <c:v>Pradera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Graficas!$A$131:$A$133</c:f>
              <c:strCache>
                <c:ptCount val="2"/>
                <c:pt idx="0">
                  <c:v>No</c:v>
                </c:pt>
                <c:pt idx="1">
                  <c:v>Sí</c:v>
                </c:pt>
              </c:strCache>
            </c:strRef>
          </c:cat>
          <c:val>
            <c:numRef>
              <c:f>Graficas!$D$131:$D$133</c:f>
              <c:numCache>
                <c:formatCode>0.00%</c:formatCode>
                <c:ptCount val="2"/>
                <c:pt idx="0">
                  <c:v>0.25806451612903225</c:v>
                </c:pt>
                <c:pt idx="1">
                  <c:v>0.32258064516129031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51-47C8-8224-1A430ADE1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8941888"/>
        <c:axId val="868949088"/>
      </c:barChart>
      <c:catAx>
        <c:axId val="86894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68949088"/>
        <c:crosses val="autoZero"/>
        <c:auto val="1"/>
        <c:lblAlgn val="ctr"/>
        <c:lblOffset val="100"/>
        <c:noMultiLvlLbl val="0"/>
      </c:catAx>
      <c:valAx>
        <c:axId val="86894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689418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1" i="0" u="none" strike="noStrike" kern="1200" spc="0" baseline="0" dirty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Percepción de la población sobre los cambios en el clima 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[1]Hoja1!$A$2</c:f>
              <c:strCache>
                <c:ptCount val="1"/>
                <c:pt idx="0">
                  <c:v>Aumentado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[1]Hoja1!$B$1:$E$1</c:f>
              <c:strCache>
                <c:ptCount val="4"/>
                <c:pt idx="0">
                  <c:v>Lluvias</c:v>
                </c:pt>
                <c:pt idx="1">
                  <c:v>Temperatura</c:v>
                </c:pt>
                <c:pt idx="2">
                  <c:v>Olas de calor</c:v>
                </c:pt>
                <c:pt idx="3">
                  <c:v>Total general</c:v>
                </c:pt>
              </c:strCache>
            </c:strRef>
          </c:cat>
          <c:val>
            <c:numRef>
              <c:f>[1]Hoja1!$B$2:$E$2</c:f>
              <c:numCache>
                <c:formatCode>0.00%</c:formatCode>
                <c:ptCount val="4"/>
                <c:pt idx="0">
                  <c:v>0.38700000000000001</c:v>
                </c:pt>
                <c:pt idx="1">
                  <c:v>0.80600000000000005</c:v>
                </c:pt>
                <c:pt idx="2">
                  <c:v>0.83899999999999997</c:v>
                </c:pt>
                <c:pt idx="3">
                  <c:v>0.67700000000000005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97-42F4-91FB-E359BB148C2D}"/>
            </c:ext>
          </c:extLst>
        </c:ser>
        <c:ser>
          <c:idx val="1"/>
          <c:order val="1"/>
          <c:tx>
            <c:strRef>
              <c:f>[1]Hoja1!$A$3</c:f>
              <c:strCache>
                <c:ptCount val="1"/>
                <c:pt idx="0">
                  <c:v>Disminuido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[1]Hoja1!$B$1:$E$1</c:f>
              <c:strCache>
                <c:ptCount val="4"/>
                <c:pt idx="0">
                  <c:v>Lluvias</c:v>
                </c:pt>
                <c:pt idx="1">
                  <c:v>Temperatura</c:v>
                </c:pt>
                <c:pt idx="2">
                  <c:v>Olas de calor</c:v>
                </c:pt>
                <c:pt idx="3">
                  <c:v>Total general</c:v>
                </c:pt>
              </c:strCache>
            </c:strRef>
          </c:cat>
          <c:val>
            <c:numRef>
              <c:f>[1]Hoja1!$B$3:$E$3</c:f>
              <c:numCache>
                <c:formatCode>0.00%</c:formatCode>
                <c:ptCount val="4"/>
                <c:pt idx="0">
                  <c:v>0.45200000000000001</c:v>
                </c:pt>
                <c:pt idx="1">
                  <c:v>0.129</c:v>
                </c:pt>
                <c:pt idx="2">
                  <c:v>9.7000000000000003E-2</c:v>
                </c:pt>
                <c:pt idx="3">
                  <c:v>0.22600000000000001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97-42F4-91FB-E359BB148C2D}"/>
            </c:ext>
          </c:extLst>
        </c:ser>
        <c:ser>
          <c:idx val="2"/>
          <c:order val="2"/>
          <c:tx>
            <c:strRef>
              <c:f>[1]Hoja1!$A$4</c:f>
              <c:strCache>
                <c:ptCount val="1"/>
                <c:pt idx="0">
                  <c:v>Sigue constante (%)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[1]Hoja1!$B$1:$E$1</c:f>
              <c:strCache>
                <c:ptCount val="4"/>
                <c:pt idx="0">
                  <c:v>Lluvias</c:v>
                </c:pt>
                <c:pt idx="1">
                  <c:v>Temperatura</c:v>
                </c:pt>
                <c:pt idx="2">
                  <c:v>Olas de calor</c:v>
                </c:pt>
                <c:pt idx="3">
                  <c:v>Total general</c:v>
                </c:pt>
              </c:strCache>
            </c:strRef>
          </c:cat>
          <c:val>
            <c:numRef>
              <c:f>[1]Hoja1!$B$4:$E$4</c:f>
              <c:numCache>
                <c:formatCode>0.00%</c:formatCode>
                <c:ptCount val="4"/>
                <c:pt idx="0">
                  <c:v>0.161</c:v>
                </c:pt>
                <c:pt idx="1">
                  <c:v>6.5000000000000002E-2</c:v>
                </c:pt>
                <c:pt idx="2">
                  <c:v>6.5000000000000002E-2</c:v>
                </c:pt>
                <c:pt idx="3">
                  <c:v>9.7000000000000003E-2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97-42F4-91FB-E359BB148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0445520"/>
        <c:axId val="480446064"/>
      </c:barChart>
      <c:catAx>
        <c:axId val="48044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80446064"/>
        <c:crosses val="autoZero"/>
        <c:auto val="1"/>
        <c:lblAlgn val="ctr"/>
        <c:lblOffset val="100"/>
        <c:noMultiLvlLbl val="0"/>
      </c:catAx>
      <c:valAx>
        <c:axId val="48044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8044552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1" i="0" u="none" strike="noStrike" baseline="0"/>
              <a:t>Percepción de la población sobre los cambios en el clima local</a:t>
            </a:r>
            <a:endParaRPr lang="es-CO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[2]Hoja1!$B$1</c:f>
              <c:strCache>
                <c:ptCount val="1"/>
                <c:pt idx="0">
                  <c:v>Palmira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[2]Hoja1!$A$2:$A$10</c:f>
              <c:strCache>
                <c:ptCount val="9"/>
                <c:pt idx="0">
                  <c:v>Lluvias: Aumentado (%)</c:v>
                </c:pt>
                <c:pt idx="1">
                  <c:v>Lluvias: Disminuido (%)</c:v>
                </c:pt>
                <c:pt idx="2">
                  <c:v>Lluvias: Constante (%)</c:v>
                </c:pt>
                <c:pt idx="3">
                  <c:v>Temperatura: Aumentado (%)</c:v>
                </c:pt>
                <c:pt idx="4">
                  <c:v>Temperatura: Disminuido (%)</c:v>
                </c:pt>
                <c:pt idx="5">
                  <c:v>Temperatura: Constante (%)</c:v>
                </c:pt>
                <c:pt idx="6">
                  <c:v>Olas de calor: Aumentado (%)</c:v>
                </c:pt>
                <c:pt idx="7">
                  <c:v>Olas de calor: Disminuido (%)</c:v>
                </c:pt>
                <c:pt idx="8">
                  <c:v>Olas de calor: Constante (%)</c:v>
                </c:pt>
              </c:strCache>
            </c:strRef>
          </c:cat>
          <c:val>
            <c:numRef>
              <c:f>[2]Hoja1!$B$2:$B$10</c:f>
              <c:numCache>
                <c:formatCode>0.00%</c:formatCode>
                <c:ptCount val="9"/>
                <c:pt idx="0">
                  <c:v>0.28599999999999998</c:v>
                </c:pt>
                <c:pt idx="1">
                  <c:v>0.57099999999999995</c:v>
                </c:pt>
                <c:pt idx="2">
                  <c:v>0.14299999999999999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AA-4340-A603-9768F794AD37}"/>
            </c:ext>
          </c:extLst>
        </c:ser>
        <c:ser>
          <c:idx val="1"/>
          <c:order val="1"/>
          <c:tx>
            <c:strRef>
              <c:f>[2]Hoja1!$C$1</c:f>
              <c:strCache>
                <c:ptCount val="1"/>
                <c:pt idx="0">
                  <c:v>Pradera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[2]Hoja1!$A$2:$A$10</c:f>
              <c:strCache>
                <c:ptCount val="9"/>
                <c:pt idx="0">
                  <c:v>Lluvias: Aumentado (%)</c:v>
                </c:pt>
                <c:pt idx="1">
                  <c:v>Lluvias: Disminuido (%)</c:v>
                </c:pt>
                <c:pt idx="2">
                  <c:v>Lluvias: Constante (%)</c:v>
                </c:pt>
                <c:pt idx="3">
                  <c:v>Temperatura: Aumentado (%)</c:v>
                </c:pt>
                <c:pt idx="4">
                  <c:v>Temperatura: Disminuido (%)</c:v>
                </c:pt>
                <c:pt idx="5">
                  <c:v>Temperatura: Constante (%)</c:v>
                </c:pt>
                <c:pt idx="6">
                  <c:v>Olas de calor: Aumentado (%)</c:v>
                </c:pt>
                <c:pt idx="7">
                  <c:v>Olas de calor: Disminuido (%)</c:v>
                </c:pt>
                <c:pt idx="8">
                  <c:v>Olas de calor: Constante (%)</c:v>
                </c:pt>
              </c:strCache>
            </c:strRef>
          </c:cat>
          <c:val>
            <c:numRef>
              <c:f>[2]Hoja1!$C$2:$C$10</c:f>
              <c:numCache>
                <c:formatCode>0.00%</c:formatCode>
                <c:ptCount val="9"/>
                <c:pt idx="0">
                  <c:v>0.38900000000000001</c:v>
                </c:pt>
                <c:pt idx="1">
                  <c:v>0.5</c:v>
                </c:pt>
                <c:pt idx="2">
                  <c:v>0.111</c:v>
                </c:pt>
                <c:pt idx="3">
                  <c:v>0.83299999999999996</c:v>
                </c:pt>
                <c:pt idx="4">
                  <c:v>0.111</c:v>
                </c:pt>
                <c:pt idx="5">
                  <c:v>5.6000000000000001E-2</c:v>
                </c:pt>
                <c:pt idx="6">
                  <c:v>0.83299999999999996</c:v>
                </c:pt>
                <c:pt idx="7">
                  <c:v>5.6000000000000001E-2</c:v>
                </c:pt>
                <c:pt idx="8">
                  <c:v>0.111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AA-4340-A603-9768F794AD37}"/>
            </c:ext>
          </c:extLst>
        </c:ser>
        <c:ser>
          <c:idx val="2"/>
          <c:order val="2"/>
          <c:tx>
            <c:strRef>
              <c:f>[2]Hoja1!$D$1</c:f>
              <c:strCache>
                <c:ptCount val="1"/>
                <c:pt idx="0">
                  <c:v>La Paz/Cesar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[2]Hoja1!$A$2:$A$10</c:f>
              <c:strCache>
                <c:ptCount val="9"/>
                <c:pt idx="0">
                  <c:v>Lluvias: Aumentado (%)</c:v>
                </c:pt>
                <c:pt idx="1">
                  <c:v>Lluvias: Disminuido (%)</c:v>
                </c:pt>
                <c:pt idx="2">
                  <c:v>Lluvias: Constante (%)</c:v>
                </c:pt>
                <c:pt idx="3">
                  <c:v>Temperatura: Aumentado (%)</c:v>
                </c:pt>
                <c:pt idx="4">
                  <c:v>Temperatura: Disminuido (%)</c:v>
                </c:pt>
                <c:pt idx="5">
                  <c:v>Temperatura: Constante (%)</c:v>
                </c:pt>
                <c:pt idx="6">
                  <c:v>Olas de calor: Aumentado (%)</c:v>
                </c:pt>
                <c:pt idx="7">
                  <c:v>Olas de calor: Disminuido (%)</c:v>
                </c:pt>
                <c:pt idx="8">
                  <c:v>Olas de calor: Constante (%)</c:v>
                </c:pt>
              </c:strCache>
            </c:strRef>
          </c:cat>
          <c:val>
            <c:numRef>
              <c:f>[2]Hoja1!$D$2:$D$10</c:f>
              <c:numCache>
                <c:formatCode>0.00%</c:formatCode>
                <c:ptCount val="9"/>
                <c:pt idx="0">
                  <c:v>0.222</c:v>
                </c:pt>
                <c:pt idx="1">
                  <c:v>0.66700000000000004</c:v>
                </c:pt>
                <c:pt idx="2">
                  <c:v>0.111</c:v>
                </c:pt>
                <c:pt idx="3">
                  <c:v>0.77800000000000002</c:v>
                </c:pt>
                <c:pt idx="4">
                  <c:v>0.222</c:v>
                </c:pt>
                <c:pt idx="5">
                  <c:v>0</c:v>
                </c:pt>
                <c:pt idx="6">
                  <c:v>0.88900000000000001</c:v>
                </c:pt>
                <c:pt idx="7">
                  <c:v>0</c:v>
                </c:pt>
                <c:pt idx="8">
                  <c:v>0.111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AA-4340-A603-9768F794A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7920847"/>
        <c:axId val="1147906447"/>
      </c:barChart>
      <c:catAx>
        <c:axId val="1147920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906447"/>
        <c:crosses val="autoZero"/>
        <c:auto val="1"/>
        <c:lblAlgn val="ctr"/>
        <c:lblOffset val="100"/>
        <c:noMultiLvlLbl val="0"/>
      </c:catAx>
      <c:valAx>
        <c:axId val="114790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9208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9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0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13" Type="http://schemas.openxmlformats.org/officeDocument/2006/relationships/chart" Target="../charts/chart24.xml"/><Relationship Id="rId18" Type="http://schemas.openxmlformats.org/officeDocument/2006/relationships/chart" Target="../charts/chart29.xml"/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12" Type="http://schemas.openxmlformats.org/officeDocument/2006/relationships/chart" Target="../charts/chart23.xml"/><Relationship Id="rId17" Type="http://schemas.openxmlformats.org/officeDocument/2006/relationships/chart" Target="../charts/chart28.xml"/><Relationship Id="rId2" Type="http://schemas.openxmlformats.org/officeDocument/2006/relationships/chart" Target="../charts/chart13.xml"/><Relationship Id="rId16" Type="http://schemas.openxmlformats.org/officeDocument/2006/relationships/chart" Target="../charts/chart27.xml"/><Relationship Id="rId20" Type="http://schemas.openxmlformats.org/officeDocument/2006/relationships/chart" Target="../charts/chart31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11" Type="http://schemas.openxmlformats.org/officeDocument/2006/relationships/chart" Target="../charts/chart22.xml"/><Relationship Id="rId5" Type="http://schemas.openxmlformats.org/officeDocument/2006/relationships/chart" Target="../charts/chart16.xml"/><Relationship Id="rId15" Type="http://schemas.openxmlformats.org/officeDocument/2006/relationships/chart" Target="../charts/chart26.xml"/><Relationship Id="rId10" Type="http://schemas.openxmlformats.org/officeDocument/2006/relationships/chart" Target="../charts/chart21.xml"/><Relationship Id="rId19" Type="http://schemas.openxmlformats.org/officeDocument/2006/relationships/chart" Target="../charts/chart30.xml"/><Relationship Id="rId4" Type="http://schemas.openxmlformats.org/officeDocument/2006/relationships/chart" Target="../charts/chart15.xml"/><Relationship Id="rId9" Type="http://schemas.openxmlformats.org/officeDocument/2006/relationships/chart" Target="../charts/chart20.xml"/><Relationship Id="rId14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270510</xdr:colOff>
      <xdr:row>10</xdr:row>
      <xdr:rowOff>26670</xdr:rowOff>
    </xdr:from>
    <xdr:to>
      <xdr:col>6</xdr:col>
      <xdr:colOff>499110</xdr:colOff>
      <xdr:row>26</xdr:row>
      <xdr:rowOff>87630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15240</xdr:colOff>
      <xdr:row>35</xdr:row>
      <xdr:rowOff>11430</xdr:rowOff>
    </xdr:from>
    <xdr:to>
      <xdr:col>8</xdr:col>
      <xdr:colOff>533400</xdr:colOff>
      <xdr:row>51</xdr:row>
      <xdr:rowOff>72390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582930</xdr:colOff>
      <xdr:row>71</xdr:row>
      <xdr:rowOff>102870</xdr:rowOff>
    </xdr:from>
    <xdr:to>
      <xdr:col>14</xdr:col>
      <xdr:colOff>400050</xdr:colOff>
      <xdr:row>85</xdr:row>
      <xdr:rowOff>331470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590550</xdr:colOff>
      <xdr:row>86</xdr:row>
      <xdr:rowOff>148590</xdr:rowOff>
    </xdr:from>
    <xdr:to>
      <xdr:col>14</xdr:col>
      <xdr:colOff>407670</xdr:colOff>
      <xdr:row>98</xdr:row>
      <xdr:rowOff>41910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76201</xdr:colOff>
      <xdr:row>118</xdr:row>
      <xdr:rowOff>284018</xdr:rowOff>
    </xdr:from>
    <xdr:to>
      <xdr:col>9</xdr:col>
      <xdr:colOff>602674</xdr:colOff>
      <xdr:row>126</xdr:row>
      <xdr:rowOff>200891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342900</xdr:colOff>
      <xdr:row>156</xdr:row>
      <xdr:rowOff>38100</xdr:rowOff>
    </xdr:from>
    <xdr:to>
      <xdr:col>8</xdr:col>
      <xdr:colOff>179614</xdr:colOff>
      <xdr:row>163</xdr:row>
      <xdr:rowOff>255814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598170</xdr:colOff>
      <xdr:row>191</xdr:row>
      <xdr:rowOff>163830</xdr:rowOff>
    </xdr:from>
    <xdr:to>
      <xdr:col>7</xdr:col>
      <xdr:colOff>270510</xdr:colOff>
      <xdr:row>208</xdr:row>
      <xdr:rowOff>57150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148590</xdr:colOff>
      <xdr:row>2</xdr:row>
      <xdr:rowOff>11430</xdr:rowOff>
    </xdr:from>
    <xdr:to>
      <xdr:col>9</xdr:col>
      <xdr:colOff>742950</xdr:colOff>
      <xdr:row>18</xdr:row>
      <xdr:rowOff>72390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697230</xdr:colOff>
      <xdr:row>22</xdr:row>
      <xdr:rowOff>125730</xdr:rowOff>
    </xdr:from>
    <xdr:to>
      <xdr:col>10</xdr:col>
      <xdr:colOff>514350</xdr:colOff>
      <xdr:row>39</xdr:row>
      <xdr:rowOff>19050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</xdr:colOff>
      <xdr:row>7</xdr:row>
      <xdr:rowOff>163830</xdr:rowOff>
    </xdr:from>
    <xdr:to>
      <xdr:col>11</xdr:col>
      <xdr:colOff>518160</xdr:colOff>
      <xdr:row>24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788670</xdr:colOff>
      <xdr:row>32</xdr:row>
      <xdr:rowOff>34290</xdr:rowOff>
    </xdr:from>
    <xdr:to>
      <xdr:col>11</xdr:col>
      <xdr:colOff>643890</xdr:colOff>
      <xdr:row>48</xdr:row>
      <xdr:rowOff>95250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710159</xdr:colOff>
      <xdr:row>0</xdr:row>
      <xdr:rowOff>0</xdr:rowOff>
    </xdr:from>
    <xdr:to>
      <xdr:col>22</xdr:col>
      <xdr:colOff>200792</xdr:colOff>
      <xdr:row>30</xdr:row>
      <xdr:rowOff>96175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36</xdr:row>
      <xdr:rowOff>160020</xdr:rowOff>
    </xdr:from>
    <xdr:to>
      <xdr:col>10</xdr:col>
      <xdr:colOff>784860</xdr:colOff>
      <xdr:row>54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19</xdr:row>
      <xdr:rowOff>7620</xdr:rowOff>
    </xdr:from>
    <xdr:to>
      <xdr:col>10</xdr:col>
      <xdr:colOff>784860</xdr:colOff>
      <xdr:row>36</xdr:row>
      <xdr:rowOff>22860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7620</xdr:colOff>
      <xdr:row>73</xdr:row>
      <xdr:rowOff>7620</xdr:rowOff>
    </xdr:from>
    <xdr:to>
      <xdr:col>11</xdr:col>
      <xdr:colOff>15240</xdr:colOff>
      <xdr:row>90</xdr:row>
      <xdr:rowOff>45720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3810</xdr:colOff>
      <xdr:row>55</xdr:row>
      <xdr:rowOff>11430</xdr:rowOff>
    </xdr:from>
    <xdr:to>
      <xdr:col>10</xdr:col>
      <xdr:colOff>784860</xdr:colOff>
      <xdr:row>72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91</xdr:row>
      <xdr:rowOff>0</xdr:rowOff>
    </xdr:from>
    <xdr:to>
      <xdr:col>10</xdr:col>
      <xdr:colOff>777240</xdr:colOff>
      <xdr:row>107</xdr:row>
      <xdr:rowOff>137160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7620</xdr:colOff>
      <xdr:row>109</xdr:row>
      <xdr:rowOff>0</xdr:rowOff>
    </xdr:from>
    <xdr:to>
      <xdr:col>11</xdr:col>
      <xdr:colOff>0</xdr:colOff>
      <xdr:row>126</xdr:row>
      <xdr:rowOff>15240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0</xdr:colOff>
      <xdr:row>147</xdr:row>
      <xdr:rowOff>160020</xdr:rowOff>
    </xdr:from>
    <xdr:to>
      <xdr:col>11</xdr:col>
      <xdr:colOff>784860</xdr:colOff>
      <xdr:row>165</xdr:row>
      <xdr:rowOff>15240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15240</xdr:colOff>
      <xdr:row>166</xdr:row>
      <xdr:rowOff>0</xdr:rowOff>
    </xdr:from>
    <xdr:to>
      <xdr:col>12</xdr:col>
      <xdr:colOff>0</xdr:colOff>
      <xdr:row>183</xdr:row>
      <xdr:rowOff>7620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0</xdr:colOff>
      <xdr:row>185</xdr:row>
      <xdr:rowOff>0</xdr:rowOff>
    </xdr:from>
    <xdr:to>
      <xdr:col>9</xdr:col>
      <xdr:colOff>609600</xdr:colOff>
      <xdr:row>201</xdr:row>
      <xdr:rowOff>60960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11430</xdr:colOff>
      <xdr:row>206</xdr:row>
      <xdr:rowOff>3810</xdr:rowOff>
    </xdr:from>
    <xdr:to>
      <xdr:col>9</xdr:col>
      <xdr:colOff>777240</xdr:colOff>
      <xdr:row>223</xdr:row>
      <xdr:rowOff>7620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11430</xdr:colOff>
      <xdr:row>226</xdr:row>
      <xdr:rowOff>156210</xdr:rowOff>
    </xdr:from>
    <xdr:to>
      <xdr:col>10</xdr:col>
      <xdr:colOff>0</xdr:colOff>
      <xdr:row>243</xdr:row>
      <xdr:rowOff>160020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</xdr:col>
      <xdr:colOff>323850</xdr:colOff>
      <xdr:row>274</xdr:row>
      <xdr:rowOff>11430</xdr:rowOff>
    </xdr:from>
    <xdr:to>
      <xdr:col>9</xdr:col>
      <xdr:colOff>140970</xdr:colOff>
      <xdr:row>290</xdr:row>
      <xdr:rowOff>72390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</xdr:col>
      <xdr:colOff>3810</xdr:colOff>
      <xdr:row>293</xdr:row>
      <xdr:rowOff>11430</xdr:rowOff>
    </xdr:from>
    <xdr:to>
      <xdr:col>8</xdr:col>
      <xdr:colOff>784860</xdr:colOff>
      <xdr:row>309</xdr:row>
      <xdr:rowOff>160020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</xdr:col>
      <xdr:colOff>3810</xdr:colOff>
      <xdr:row>313</xdr:row>
      <xdr:rowOff>3810</xdr:rowOff>
    </xdr:from>
    <xdr:to>
      <xdr:col>8</xdr:col>
      <xdr:colOff>613410</xdr:colOff>
      <xdr:row>329</xdr:row>
      <xdr:rowOff>64770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784860</xdr:colOff>
      <xdr:row>331</xdr:row>
      <xdr:rowOff>3810</xdr:rowOff>
    </xdr:from>
    <xdr:to>
      <xdr:col>8</xdr:col>
      <xdr:colOff>601980</xdr:colOff>
      <xdr:row>347</xdr:row>
      <xdr:rowOff>64770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</xdr:col>
      <xdr:colOff>15240</xdr:colOff>
      <xdr:row>352</xdr:row>
      <xdr:rowOff>3810</xdr:rowOff>
    </xdr:from>
    <xdr:to>
      <xdr:col>8</xdr:col>
      <xdr:colOff>624840</xdr:colOff>
      <xdr:row>368</xdr:row>
      <xdr:rowOff>64770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5</xdr:col>
      <xdr:colOff>504702</xdr:colOff>
      <xdr:row>127</xdr:row>
      <xdr:rowOff>93023</xdr:rowOff>
    </xdr:from>
    <xdr:to>
      <xdr:col>11</xdr:col>
      <xdr:colOff>326572</xdr:colOff>
      <xdr:row>143</xdr:row>
      <xdr:rowOff>144482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7574E12-E779-5C71-C574-C10F7B9261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6</xdr:col>
      <xdr:colOff>0</xdr:colOff>
      <xdr:row>374</xdr:row>
      <xdr:rowOff>0</xdr:rowOff>
    </xdr:from>
    <xdr:to>
      <xdr:col>13</xdr:col>
      <xdr:colOff>529000</xdr:colOff>
      <xdr:row>393</xdr:row>
      <xdr:rowOff>25973</xdr:rowOff>
    </xdr:to>
    <xdr:graphicFrame macro="">
      <xdr:nvGraphicFramePr>
        <xdr:cNvPr id="10" name="Gráfico 2">
          <a:extLst>
            <a:ext uri="{FF2B5EF4-FFF2-40B4-BE49-F238E27FC236}">
              <a16:creationId xmlns:a16="http://schemas.microsoft.com/office/drawing/2014/main" id="{F71B7F2E-CFB8-4BC3-8136-B06174EB93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</xdr:col>
      <xdr:colOff>0</xdr:colOff>
      <xdr:row>398</xdr:row>
      <xdr:rowOff>0</xdr:rowOff>
    </xdr:from>
    <xdr:to>
      <xdr:col>16</xdr:col>
      <xdr:colOff>493368</xdr:colOff>
      <xdr:row>407</xdr:row>
      <xdr:rowOff>68634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56C73AEE-14F7-4309-B13A-5A12FA3433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aledu-my.sharepoint.com/personal/varaujo_unal_edu_co/Documents/Catedra%20ciudadania/MAAAAAAASSSSHHHHH.xlsx" TargetMode="External"/><Relationship Id="rId1" Type="http://schemas.openxmlformats.org/officeDocument/2006/relationships/externalLinkPath" Target="MAAAAAAASSSSHHHHH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aledu-my.sharepoint.com/personal/varaujo_unal_edu_co/Documents/Catedra%20ciudadania/sapa2.xlsx" TargetMode="External"/><Relationship Id="rId1" Type="http://schemas.openxmlformats.org/officeDocument/2006/relationships/externalLinkPath" Target="sapa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B1" t="str">
            <v>Lluvias</v>
          </cell>
          <cell r="C1" t="str">
            <v>Temperatura</v>
          </cell>
          <cell r="D1" t="str">
            <v>Olas de calor</v>
          </cell>
          <cell r="E1" t="str">
            <v>Total general</v>
          </cell>
        </row>
        <row r="2">
          <cell r="A2" t="str">
            <v>Aumentado (%)</v>
          </cell>
          <cell r="B2">
            <v>0.38700000000000001</v>
          </cell>
          <cell r="C2">
            <v>0.80600000000000005</v>
          </cell>
          <cell r="D2">
            <v>0.83899999999999997</v>
          </cell>
          <cell r="E2">
            <v>0.67700000000000005</v>
          </cell>
        </row>
        <row r="3">
          <cell r="A3" t="str">
            <v>Disminuido (%)</v>
          </cell>
          <cell r="B3">
            <v>0.45200000000000001</v>
          </cell>
          <cell r="C3">
            <v>0.129</v>
          </cell>
          <cell r="D3">
            <v>9.7000000000000003E-2</v>
          </cell>
          <cell r="E3">
            <v>0.22600000000000001</v>
          </cell>
        </row>
        <row r="4">
          <cell r="A4" t="str">
            <v>Sigue constante (%)</v>
          </cell>
          <cell r="B4">
            <v>0.161</v>
          </cell>
          <cell r="C4">
            <v>6.5000000000000002E-2</v>
          </cell>
          <cell r="D4">
            <v>6.5000000000000002E-2</v>
          </cell>
          <cell r="E4">
            <v>9.7000000000000003E-2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B1" t="str">
            <v>Palmira</v>
          </cell>
          <cell r="C1" t="str">
            <v>Pradera</v>
          </cell>
          <cell r="D1" t="str">
            <v>La Paz/Cesar</v>
          </cell>
        </row>
        <row r="2">
          <cell r="A2" t="str">
            <v>Lluvias: Aumentado (%)</v>
          </cell>
          <cell r="B2">
            <v>0.28599999999999998</v>
          </cell>
          <cell r="C2">
            <v>0.38900000000000001</v>
          </cell>
          <cell r="D2">
            <v>0.222</v>
          </cell>
        </row>
        <row r="3">
          <cell r="A3" t="str">
            <v>Lluvias: Disminuido (%)</v>
          </cell>
          <cell r="B3">
            <v>0.57099999999999995</v>
          </cell>
          <cell r="C3">
            <v>0.5</v>
          </cell>
          <cell r="D3">
            <v>0.66700000000000004</v>
          </cell>
        </row>
        <row r="4">
          <cell r="A4" t="str">
            <v>Lluvias: Constante (%)</v>
          </cell>
          <cell r="B4">
            <v>0.14299999999999999</v>
          </cell>
          <cell r="C4">
            <v>0.111</v>
          </cell>
          <cell r="D4">
            <v>0.111</v>
          </cell>
        </row>
        <row r="5">
          <cell r="A5" t="str">
            <v>Temperatura: Aumentado (%)</v>
          </cell>
          <cell r="B5">
            <v>1</v>
          </cell>
          <cell r="C5">
            <v>0.83299999999999996</v>
          </cell>
          <cell r="D5">
            <v>0.77800000000000002</v>
          </cell>
        </row>
        <row r="6">
          <cell r="A6" t="str">
            <v>Temperatura: Disminuido (%)</v>
          </cell>
          <cell r="B6">
            <v>0</v>
          </cell>
          <cell r="C6">
            <v>0.111</v>
          </cell>
          <cell r="D6">
            <v>0.222</v>
          </cell>
        </row>
        <row r="7">
          <cell r="A7" t="str">
            <v>Temperatura: Constante (%)</v>
          </cell>
          <cell r="B7">
            <v>0</v>
          </cell>
          <cell r="C7">
            <v>5.6000000000000001E-2</v>
          </cell>
          <cell r="D7">
            <v>0</v>
          </cell>
        </row>
        <row r="8">
          <cell r="A8" t="str">
            <v>Olas de calor: Aumentado (%)</v>
          </cell>
          <cell r="B8">
            <v>1</v>
          </cell>
          <cell r="C8">
            <v>0.83299999999999996</v>
          </cell>
          <cell r="D8">
            <v>0.88900000000000001</v>
          </cell>
        </row>
        <row r="9">
          <cell r="A9" t="str">
            <v>Olas de calor: Disminuido (%)</v>
          </cell>
          <cell r="B9">
            <v>0</v>
          </cell>
          <cell r="C9">
            <v>5.6000000000000001E-2</v>
          </cell>
          <cell r="D9">
            <v>0</v>
          </cell>
        </row>
        <row r="10">
          <cell r="A10" t="str">
            <v>Olas de calor: Constante (%)</v>
          </cell>
          <cell r="B10">
            <v>0</v>
          </cell>
          <cell r="C10">
            <v>0.111</v>
          </cell>
          <cell r="D10">
            <v>0.111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.xml"/></Relationships>
</file>

<file path=xl/pivotCache/_rels/pivotCacheDefinition1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.xml"/></Relationships>
</file>

<file path=xl/pivotCache/_rels/pivotCacheDefinition1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9.xml"/></Relationships>
</file>

<file path=xl/pivotCache/_rels/pivotCacheDefinition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Encuesta%20Percepci&#243;n.xlsx" TargetMode="External"/><Relationship Id="rId1" Type="http://schemas.openxmlformats.org/officeDocument/2006/relationships/pivotCacheRecords" Target="pivotCacheRecords2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8.966726157407" createdVersion="5" refreshedVersion="5" minRefreshableVersion="3" recordCount="31" xr:uid="{00000000-000A-0000-FFFF-FFFF05000000}">
  <cacheSource type="worksheet">
    <worksheetSource ref="A1:B32" sheet="Hoja1"/>
  </cacheSource>
  <cacheFields count="2">
    <cacheField name="Pregrado" numFmtId="0">
      <sharedItems count="6">
        <s v="Tecnólogo"/>
        <s v="Técnico"/>
        <s v="Pregrado"/>
        <s v="Bachiller"/>
        <s v="Posgrado"/>
        <s v="Básica secundaria "/>
      </sharedItems>
    </cacheField>
    <cacheField name="Sí" numFmtId="0">
      <sharedItems count="2">
        <s v="Sí"/>
        <s v="No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9.007243402775" createdVersion="5" refreshedVersion="5" minRefreshableVersion="3" recordCount="31" xr:uid="{00000000-000A-0000-FFFF-FFFF46000000}">
  <cacheSource type="worksheet">
    <worksheetSource ref="E1:F32" sheet="Hoja1"/>
  </cacheSource>
  <cacheFields count="2">
    <cacheField name="26 - 35 años" numFmtId="0">
      <sharedItems count="4">
        <s v="15 - 25 años"/>
        <s v="36 - 45 años"/>
        <s v="26 - 35 años"/>
        <s v="más 55 años"/>
      </sharedItems>
    </cacheField>
    <cacheField name="Sí" numFmtId="0">
      <sharedItems count="2">
        <s v="Sí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9.016080439818" createdVersion="5" refreshedVersion="5" minRefreshableVersion="3" recordCount="31" xr:uid="{00000000-000A-0000-FFFF-FFFF52000000}">
  <cacheSource type="worksheet">
    <worksheetSource ref="B1:C32" sheet="Hoja1"/>
  </cacheSource>
  <cacheFields count="2">
    <cacheField name="Sí" numFmtId="0">
      <sharedItems count="2">
        <s v="Sí"/>
        <s v="No"/>
      </sharedItems>
    </cacheField>
    <cacheField name="Femenino" numFmtId="0">
      <sharedItems count="2">
        <s v="Femenino"/>
        <s v="Masculi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9.027101273146" createdVersion="5" refreshedVersion="5" minRefreshableVersion="3" recordCount="31" xr:uid="{00000000-000A-0000-FFFF-FFFF5E000000}">
  <cacheSource type="worksheet">
    <worksheetSource ref="B2:B33" sheet="Hoja7"/>
  </cacheSource>
  <cacheFields count="1">
    <cacheField name="No" numFmtId="0">
      <sharedItems count="2">
        <s v="Si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9.044582986113" createdVersion="5" refreshedVersion="5" minRefreshableVersion="3" recordCount="31" xr:uid="{00000000-000A-0000-FFFF-FFFF68000000}">
  <cacheSource type="worksheet">
    <worksheetSource ref="C2:C33" sheet="Hoja7"/>
  </cacheSource>
  <cacheFields count="1">
    <cacheField name="Saben solo de cambio climático" numFmtId="0">
      <sharedItems count="3">
        <s v="Saben de ambos temas"/>
        <s v="No saben de ninguno de los dos"/>
        <s v="Saben solo de cambio climátic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9.051490740741" createdVersion="5" refreshedVersion="5" minRefreshableVersion="3" recordCount="31" xr:uid="{00000000-000A-0000-FFFF-FFFF6B000000}">
  <cacheSource type="worksheet">
    <worksheetSource ref="A36:A67" sheet="Hoja7"/>
  </cacheSource>
  <cacheFields count="1">
    <cacheField name="Sí" numFmtId="0">
      <sharedItems count="2">
        <s v="Sí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9.056932175925" createdVersion="5" refreshedVersion="5" minRefreshableVersion="3" recordCount="31" xr:uid="{00000000-000A-0000-FFFF-FFFF72000000}">
  <cacheSource type="worksheet">
    <worksheetSource ref="A73:A104" sheet="Hoja7"/>
  </cacheSource>
  <cacheFields count="2">
    <cacheField name="Palmira" numFmtId="0">
      <sharedItems count="3">
        <s v="Pradera"/>
        <s v="Palmira"/>
        <s v="La paz/Cesar"/>
      </sharedItems>
    </cacheField>
    <cacheField name="Sí" numFmtId="0">
      <sharedItems count="2">
        <s v="Sí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9.080883564813" createdVersion="5" refreshedVersion="5" minRefreshableVersion="3" recordCount="31" xr:uid="{00000000-000A-0000-FFFF-FFFF7A000000}">
  <cacheSource type="worksheet">
    <worksheetSource ref="B110:C141" sheet="Hoja7"/>
  </cacheSource>
  <cacheFields count="2">
    <cacheField name="26 - 35 años" numFmtId="0">
      <sharedItems count="4">
        <s v="15 - 25 años"/>
        <s v="36 - 45 años"/>
        <s v="26 - 35 años"/>
        <s v="más 55 años"/>
      </sharedItems>
    </cacheField>
    <cacheField name="Fácil acceso a información detallada." numFmtId="0">
      <sharedItems count="4">
        <s v="Fácil acceso a información detallada."/>
        <s v="Poco acceso a información."/>
        <s v="Acceso moderado a información."/>
        <s v="No tengo acceso a información.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9.086856944443" createdVersion="5" refreshedVersion="5" minRefreshableVersion="3" recordCount="31" xr:uid="{00000000-000A-0000-FFFF-FFFF7E000000}">
  <cacheSource type="worksheet">
    <worksheetSource ref="B144:C175" sheet="Hoja7"/>
  </cacheSource>
  <cacheFields count="2">
    <cacheField name="26 - 35 años" numFmtId="0">
      <sharedItems count="4">
        <s v="15 - 25 años"/>
        <s v="36 - 45 años"/>
        <s v="26 - 35 años"/>
        <s v="más 55 años"/>
      </sharedItems>
    </cacheField>
    <cacheField name="Artículos científicos." numFmtId="0">
      <sharedItems count="4">
        <s v="A través de redes sociales."/>
        <s v="Materiales impresos (folletos, libros)."/>
        <s v="Talleres o seminarios."/>
        <s v="Artículos científicos.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9.097367939816" createdVersion="5" refreshedVersion="5" minRefreshableVersion="3" recordCount="31" xr:uid="{00000000-000A-0000-FFFF-FFFF81000000}">
  <cacheSource type="worksheet">
    <worksheetSource ref="A189:A220" sheet="Hoja7"/>
  </cacheSource>
  <cacheFields count="1">
    <cacheField name="No" numFmtId="0">
      <sharedItems count="2">
        <s v="No"/>
        <s v="Sí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9.102065277781" createdVersion="5" refreshedVersion="5" minRefreshableVersion="3" recordCount="31" xr:uid="{00000000-000A-0000-FFFF-FFFF85000000}">
  <cacheSource type="worksheet">
    <worksheetSource ref="A223:B254" sheet="Hoja7"/>
  </cacheSource>
  <cacheFields count="2">
    <cacheField name="26 - 35 años" numFmtId="0">
      <sharedItems count="4">
        <s v="15 - 25 años"/>
        <s v="36 - 45 años"/>
        <s v="26 - 35 años"/>
        <s v="más 55 años"/>
      </sharedItems>
    </cacheField>
    <cacheField name="No" numFmtId="0">
      <sharedItems count="2">
        <s v="No"/>
        <s v="Sí_x0009_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9.105003703706" createdVersion="5" refreshedVersion="5" minRefreshableVersion="3" recordCount="31" xr:uid="{00000000-000A-0000-FFFF-FFFF89000000}">
  <cacheSource type="worksheet">
    <worksheetSource ref="A259:B290" sheet="Hoja7"/>
  </cacheSource>
  <cacheFields count="2">
    <cacheField name="No" numFmtId="0">
      <sharedItems count="2">
        <s v="Sí"/>
        <s v="No"/>
      </sharedItems>
    </cacheField>
    <cacheField name="26 - 35 años" numFmtId="0">
      <sharedItems count="4">
        <s v="15 - 25 años"/>
        <s v="36 - 45 años"/>
        <s v="26 - 35 años"/>
        <s v="más 55 año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9.109256481483" createdVersion="5" refreshedVersion="5" minRefreshableVersion="3" recordCount="31" xr:uid="{00000000-000A-0000-FFFF-FFFF8D000000}">
  <cacheSource type="worksheet">
    <worksheetSource ref="A293:B324" sheet="Hoja7"/>
  </cacheSource>
  <cacheFields count="2">
    <cacheField name="26 - 35 años" numFmtId="0">
      <sharedItems count="4">
        <s v="15 - 25 años"/>
        <s v="36 - 45 años"/>
        <s v="26 - 35 años"/>
        <s v="más 55 años"/>
      </sharedItems>
    </cacheField>
    <cacheField name="Femenino" numFmtId="0">
      <sharedItems count="2">
        <s v="Femenino"/>
        <s v="Masculi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9.13204016204" createdVersion="5" refreshedVersion="5" minRefreshableVersion="3" recordCount="31" xr:uid="{00000000-000A-0000-FFFF-FFFF90000000}">
  <cacheSource type="worksheet">
    <worksheetSource ref="I56:I87" sheet="Hoja1"/>
  </cacheSource>
  <cacheFields count="1">
    <cacheField name="Palmira" numFmtId="0">
      <sharedItems count="3">
        <s v="Pradera"/>
        <s v="Palmira"/>
        <s v="La paz/Cesa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9.133817824077" createdVersion="5" refreshedVersion="5" minRefreshableVersion="3" recordCount="31" xr:uid="{00000000-000A-0000-FFFF-FFFF93000000}">
  <cacheSource type="worksheet">
    <worksheetSource ref="A17:A48" sheet="Hoja2"/>
  </cacheSource>
  <cacheFields count="1">
    <cacheField name="Urbana" numFmtId="0">
      <sharedItems count="2">
        <s v="Urbana"/>
        <s v="Rur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9.136538194442" createdVersion="5" refreshedVersion="5" minRefreshableVersion="3" recordCount="31" xr:uid="{00000000-000A-0000-FFFF-FFFF9A000000}">
  <cacheSource type="worksheet">
    <worksheetSource ref="C31:C62" sheet="Hoja2"/>
  </cacheSource>
  <cacheFields count="1">
    <cacheField name="Estudiante" numFmtId="0">
      <sharedItems count="8">
        <s v="Comerciante"/>
        <s v="Biotecnologo"/>
        <s v="Estudiante"/>
        <s v="Estudiante "/>
        <s v="Comerciante "/>
        <s v="Ama de casa "/>
        <s v="Auxiliar de cocina "/>
        <s v="Profeso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9.139749189817" createdVersion="5" refreshedVersion="5" minRefreshableVersion="3" recordCount="31" xr:uid="{00000000-000A-0000-FFFF-FFFF9D000000}">
  <cacheSource type="worksheet">
    <worksheetSource ref="H92:H123" sheet="Hoja1"/>
  </cacheSource>
  <cacheFields count="1">
    <cacheField name="Femenino" numFmtId="0">
      <sharedItems count="2">
        <s v="Femenino"/>
        <s v="Masculi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9.141320023147" createdVersion="5" refreshedVersion="5" minRefreshableVersion="3" recordCount="31" xr:uid="{00000000-000A-0000-FFFF-FFFFA0000000}">
  <cacheSource type="worksheet">
    <worksheetSource ref="J101:J132" sheet="Hoja1"/>
  </cacheSource>
  <cacheFields count="1">
    <cacheField name="26 - 35 años" numFmtId="0">
      <sharedItems count="4">
        <s v="15 - 25 años"/>
        <s v="36 - 45 años"/>
        <s v="26 - 35 años"/>
        <s v="más 55 año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essa araujo" refreshedDate="45959.161518634261" createdVersion="5" refreshedVersion="8" minRefreshableVersion="3" recordCount="31" xr:uid="{00000000-000A-0000-FFFF-FFFF76000000}">
  <cacheSource type="worksheet">
    <worksheetSource ref="A73:B104" sheet="Hoja7"/>
  </cacheSource>
  <cacheFields count="2">
    <cacheField name="Palmira" numFmtId="0">
      <sharedItems count="3">
        <s v="Pradera"/>
        <s v="Palmira"/>
        <s v="La paz/Cesar"/>
      </sharedItems>
    </cacheField>
    <cacheField name="No" numFmtId="0">
      <sharedItems count="3">
        <s v="Sí"/>
        <s v="Si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959.161478935188" createdVersion="5" refreshedVersion="5" minRefreshableVersion="3" recordCount="31" xr:uid="{D8421719-1292-423E-BAB4-C5F24A530FE3}">
  <cacheSource type="worksheet">
    <worksheetSource ref="C69:D100" sheet="Hoja2" r:id="rId2"/>
  </cacheSource>
  <cacheFields count="2">
    <cacheField name="Palmira" numFmtId="0">
      <sharedItems count="3">
        <s v="Pradera"/>
        <s v="Palmira"/>
        <s v="La paz/Cesar"/>
      </sharedItems>
    </cacheField>
    <cacheField name="No" numFmtId="0">
      <sharedItems count="2">
        <s v="Sí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">
  <r>
    <x v="0"/>
    <x v="0"/>
  </r>
  <r>
    <x v="0"/>
    <x v="0"/>
  </r>
  <r>
    <x v="1"/>
    <x v="0"/>
  </r>
  <r>
    <x v="2"/>
    <x v="0"/>
  </r>
  <r>
    <x v="3"/>
    <x v="0"/>
  </r>
  <r>
    <x v="1"/>
    <x v="0"/>
  </r>
  <r>
    <x v="1"/>
    <x v="0"/>
  </r>
  <r>
    <x v="3"/>
    <x v="0"/>
  </r>
  <r>
    <x v="0"/>
    <x v="0"/>
  </r>
  <r>
    <x v="0"/>
    <x v="1"/>
  </r>
  <r>
    <x v="3"/>
    <x v="0"/>
  </r>
  <r>
    <x v="2"/>
    <x v="0"/>
  </r>
  <r>
    <x v="1"/>
    <x v="0"/>
  </r>
  <r>
    <x v="3"/>
    <x v="1"/>
  </r>
  <r>
    <x v="1"/>
    <x v="0"/>
  </r>
  <r>
    <x v="1"/>
    <x v="0"/>
  </r>
  <r>
    <x v="3"/>
    <x v="0"/>
  </r>
  <r>
    <x v="3"/>
    <x v="0"/>
  </r>
  <r>
    <x v="2"/>
    <x v="0"/>
  </r>
  <r>
    <x v="3"/>
    <x v="1"/>
  </r>
  <r>
    <x v="0"/>
    <x v="0"/>
  </r>
  <r>
    <x v="1"/>
    <x v="0"/>
  </r>
  <r>
    <x v="2"/>
    <x v="0"/>
  </r>
  <r>
    <x v="1"/>
    <x v="0"/>
  </r>
  <r>
    <x v="4"/>
    <x v="0"/>
  </r>
  <r>
    <x v="5"/>
    <x v="1"/>
  </r>
  <r>
    <x v="1"/>
    <x v="0"/>
  </r>
  <r>
    <x v="1"/>
    <x v="0"/>
  </r>
  <r>
    <x v="2"/>
    <x v="0"/>
  </r>
  <r>
    <x v="1"/>
    <x v="0"/>
  </r>
  <r>
    <x v="1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1"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2"/>
    <x v="1"/>
  </r>
  <r>
    <x v="0"/>
    <x v="0"/>
  </r>
  <r>
    <x v="0"/>
    <x v="0"/>
  </r>
  <r>
    <x v="1"/>
    <x v="0"/>
  </r>
  <r>
    <x v="2"/>
    <x v="1"/>
  </r>
  <r>
    <x v="1"/>
    <x v="0"/>
  </r>
  <r>
    <x v="0"/>
    <x v="0"/>
  </r>
  <r>
    <x v="2"/>
    <x v="0"/>
  </r>
  <r>
    <x v="3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0"/>
  </r>
  <r>
    <x v="0"/>
    <x v="1"/>
  </r>
  <r>
    <x v="0"/>
    <x v="0"/>
  </r>
  <r>
    <x v="0"/>
    <x v="0"/>
  </r>
  <r>
    <x v="1"/>
    <x v="0"/>
  </r>
  <r>
    <x v="2"/>
    <x v="0"/>
  </r>
  <r>
    <x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1">
  <r>
    <x v="0"/>
    <x v="0"/>
  </r>
  <r>
    <x v="0"/>
    <x v="1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1"/>
    <x v="0"/>
  </r>
  <r>
    <x v="0"/>
    <x v="1"/>
  </r>
  <r>
    <x v="0"/>
    <x v="1"/>
  </r>
  <r>
    <x v="0"/>
    <x v="1"/>
  </r>
  <r>
    <x v="1"/>
    <x v="0"/>
  </r>
  <r>
    <x v="0"/>
    <x v="0"/>
  </r>
  <r>
    <x v="0"/>
    <x v="0"/>
  </r>
  <r>
    <x v="0"/>
    <x v="0"/>
  </r>
  <r>
    <x v="0"/>
    <x v="1"/>
  </r>
  <r>
    <x v="0"/>
    <x v="0"/>
  </r>
  <r>
    <x v="1"/>
    <x v="0"/>
  </r>
  <r>
    <x v="0"/>
    <x v="0"/>
  </r>
  <r>
    <x v="0"/>
    <x v="0"/>
  </r>
  <r>
    <x v="0"/>
    <x v="0"/>
  </r>
  <r>
    <x v="0"/>
    <x v="1"/>
  </r>
  <r>
    <x v="0"/>
    <x v="1"/>
  </r>
  <r>
    <x v="1"/>
    <x v="0"/>
  </r>
  <r>
    <x v="0"/>
    <x v="0"/>
  </r>
  <r>
    <x v="0"/>
    <x v="1"/>
  </r>
  <r>
    <x v="0"/>
    <x v="0"/>
  </r>
  <r>
    <x v="0"/>
    <x v="0"/>
  </r>
  <r>
    <x v="0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31"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31"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2"/>
  </r>
  <r>
    <x v="2"/>
  </r>
  <r>
    <x v="0"/>
  </r>
  <r>
    <x v="1"/>
  </r>
  <r>
    <x v="0"/>
  </r>
  <r>
    <x v="2"/>
  </r>
  <r>
    <x v="2"/>
  </r>
  <r>
    <x v="0"/>
  </r>
  <r>
    <x v="0"/>
  </r>
  <r>
    <x v="1"/>
  </r>
  <r>
    <x v="0"/>
  </r>
  <r>
    <x v="0"/>
  </r>
  <r>
    <x v="2"/>
  </r>
  <r>
    <x v="2"/>
  </r>
  <r>
    <x v="2"/>
  </r>
  <r>
    <x v="1"/>
  </r>
  <r>
    <x v="0"/>
  </r>
  <r>
    <x v="2"/>
  </r>
  <r>
    <x v="0"/>
  </r>
  <r>
    <x v="2"/>
  </r>
  <r>
    <x v="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31"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31">
  <r>
    <x v="0"/>
    <x v="0"/>
  </r>
  <r>
    <x v="0"/>
    <x v="0"/>
  </r>
  <r>
    <x v="1"/>
    <x v="0"/>
  </r>
  <r>
    <x v="2"/>
    <x v="0"/>
  </r>
  <r>
    <x v="1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2"/>
    <x v="0"/>
  </r>
  <r>
    <x v="2"/>
    <x v="1"/>
  </r>
  <r>
    <x v="2"/>
    <x v="0"/>
  </r>
  <r>
    <x v="2"/>
    <x v="0"/>
  </r>
  <r>
    <x v="2"/>
    <x v="0"/>
  </r>
  <r>
    <x v="2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1"/>
    <x v="0"/>
  </r>
  <r>
    <x v="0"/>
    <x v="1"/>
  </r>
  <r>
    <x v="0"/>
    <x v="0"/>
  </r>
  <r>
    <x v="0"/>
    <x v="0"/>
  </r>
  <r>
    <x v="2"/>
    <x v="0"/>
  </r>
  <r>
    <x v="1"/>
    <x v="0"/>
  </r>
  <r>
    <x v="0"/>
    <x v="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count="31">
  <r>
    <x v="0"/>
    <x v="0"/>
  </r>
  <r>
    <x v="0"/>
    <x v="1"/>
  </r>
  <r>
    <x v="0"/>
    <x v="2"/>
  </r>
  <r>
    <x v="0"/>
    <x v="2"/>
  </r>
  <r>
    <x v="0"/>
    <x v="2"/>
  </r>
  <r>
    <x v="0"/>
    <x v="1"/>
  </r>
  <r>
    <x v="0"/>
    <x v="2"/>
  </r>
  <r>
    <x v="0"/>
    <x v="2"/>
  </r>
  <r>
    <x v="1"/>
    <x v="2"/>
  </r>
  <r>
    <x v="2"/>
    <x v="0"/>
  </r>
  <r>
    <x v="0"/>
    <x v="2"/>
  </r>
  <r>
    <x v="0"/>
    <x v="2"/>
  </r>
  <r>
    <x v="1"/>
    <x v="3"/>
  </r>
  <r>
    <x v="2"/>
    <x v="1"/>
  </r>
  <r>
    <x v="1"/>
    <x v="2"/>
  </r>
  <r>
    <x v="0"/>
    <x v="1"/>
  </r>
  <r>
    <x v="2"/>
    <x v="1"/>
  </r>
  <r>
    <x v="3"/>
    <x v="1"/>
  </r>
  <r>
    <x v="0"/>
    <x v="1"/>
  </r>
  <r>
    <x v="1"/>
    <x v="1"/>
  </r>
  <r>
    <x v="0"/>
    <x v="2"/>
  </r>
  <r>
    <x v="0"/>
    <x v="0"/>
  </r>
  <r>
    <x v="0"/>
    <x v="2"/>
  </r>
  <r>
    <x v="0"/>
    <x v="0"/>
  </r>
  <r>
    <x v="1"/>
    <x v="2"/>
  </r>
  <r>
    <x v="0"/>
    <x v="2"/>
  </r>
  <r>
    <x v="0"/>
    <x v="2"/>
  </r>
  <r>
    <x v="0"/>
    <x v="3"/>
  </r>
  <r>
    <x v="1"/>
    <x v="2"/>
  </r>
  <r>
    <x v="2"/>
    <x v="0"/>
  </r>
  <r>
    <x v="0"/>
    <x v="0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count="31">
  <r>
    <x v="0"/>
    <x v="0"/>
  </r>
  <r>
    <x v="0"/>
    <x v="0"/>
  </r>
  <r>
    <x v="0"/>
    <x v="1"/>
  </r>
  <r>
    <x v="0"/>
    <x v="0"/>
  </r>
  <r>
    <x v="0"/>
    <x v="2"/>
  </r>
  <r>
    <x v="0"/>
    <x v="2"/>
  </r>
  <r>
    <x v="0"/>
    <x v="0"/>
  </r>
  <r>
    <x v="0"/>
    <x v="2"/>
  </r>
  <r>
    <x v="1"/>
    <x v="0"/>
  </r>
  <r>
    <x v="2"/>
    <x v="0"/>
  </r>
  <r>
    <x v="0"/>
    <x v="2"/>
  </r>
  <r>
    <x v="0"/>
    <x v="0"/>
  </r>
  <r>
    <x v="1"/>
    <x v="0"/>
  </r>
  <r>
    <x v="2"/>
    <x v="2"/>
  </r>
  <r>
    <x v="1"/>
    <x v="0"/>
  </r>
  <r>
    <x v="0"/>
    <x v="1"/>
  </r>
  <r>
    <x v="2"/>
    <x v="2"/>
  </r>
  <r>
    <x v="3"/>
    <x v="0"/>
  </r>
  <r>
    <x v="0"/>
    <x v="0"/>
  </r>
  <r>
    <x v="1"/>
    <x v="0"/>
  </r>
  <r>
    <x v="0"/>
    <x v="0"/>
  </r>
  <r>
    <x v="0"/>
    <x v="3"/>
  </r>
  <r>
    <x v="0"/>
    <x v="0"/>
  </r>
  <r>
    <x v="0"/>
    <x v="2"/>
  </r>
  <r>
    <x v="1"/>
    <x v="2"/>
  </r>
  <r>
    <x v="0"/>
    <x v="1"/>
  </r>
  <r>
    <x v="0"/>
    <x v="0"/>
  </r>
  <r>
    <x v="0"/>
    <x v="0"/>
  </r>
  <r>
    <x v="1"/>
    <x v="1"/>
  </r>
  <r>
    <x v="2"/>
    <x v="0"/>
  </r>
  <r>
    <x v="0"/>
    <x v="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count="31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count="31"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2"/>
    <x v="0"/>
  </r>
  <r>
    <x v="0"/>
    <x v="0"/>
  </r>
  <r>
    <x v="0"/>
    <x v="0"/>
  </r>
  <r>
    <x v="1"/>
    <x v="0"/>
  </r>
  <r>
    <x v="2"/>
    <x v="0"/>
  </r>
  <r>
    <x v="1"/>
    <x v="0"/>
  </r>
  <r>
    <x v="0"/>
    <x v="0"/>
  </r>
  <r>
    <x v="2"/>
    <x v="0"/>
  </r>
  <r>
    <x v="3"/>
    <x v="1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1"/>
    <x v="0"/>
  </r>
  <r>
    <x v="2"/>
    <x v="0"/>
  </r>
  <r>
    <x v="0"/>
    <x v="0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count="31">
  <r>
    <x v="0"/>
    <x v="0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0"/>
    <x v="0"/>
  </r>
  <r>
    <x v="0"/>
    <x v="1"/>
  </r>
  <r>
    <x v="0"/>
    <x v="2"/>
  </r>
  <r>
    <x v="1"/>
    <x v="0"/>
  </r>
  <r>
    <x v="1"/>
    <x v="0"/>
  </r>
  <r>
    <x v="1"/>
    <x v="1"/>
  </r>
  <r>
    <x v="1"/>
    <x v="2"/>
  </r>
  <r>
    <x v="0"/>
    <x v="1"/>
  </r>
  <r>
    <x v="1"/>
    <x v="0"/>
  </r>
  <r>
    <x v="1"/>
    <x v="2"/>
  </r>
  <r>
    <x v="1"/>
    <x v="3"/>
  </r>
  <r>
    <x v="1"/>
    <x v="0"/>
  </r>
  <r>
    <x v="1"/>
    <x v="1"/>
  </r>
  <r>
    <x v="1"/>
    <x v="0"/>
  </r>
  <r>
    <x v="0"/>
    <x v="0"/>
  </r>
  <r>
    <x v="0"/>
    <x v="0"/>
  </r>
  <r>
    <x v="0"/>
    <x v="0"/>
  </r>
  <r>
    <x v="0"/>
    <x v="1"/>
  </r>
  <r>
    <x v="1"/>
    <x v="0"/>
  </r>
  <r>
    <x v="1"/>
    <x v="0"/>
  </r>
  <r>
    <x v="1"/>
    <x v="0"/>
  </r>
  <r>
    <x v="1"/>
    <x v="1"/>
  </r>
  <r>
    <x v="0"/>
    <x v="2"/>
  </r>
  <r>
    <x v="0"/>
    <x v="0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count="31">
  <r>
    <x v="0"/>
    <x v="0"/>
  </r>
  <r>
    <x v="0"/>
    <x v="1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1"/>
    <x v="0"/>
  </r>
  <r>
    <x v="2"/>
    <x v="0"/>
  </r>
  <r>
    <x v="0"/>
    <x v="1"/>
  </r>
  <r>
    <x v="0"/>
    <x v="1"/>
  </r>
  <r>
    <x v="1"/>
    <x v="1"/>
  </r>
  <r>
    <x v="2"/>
    <x v="0"/>
  </r>
  <r>
    <x v="1"/>
    <x v="0"/>
  </r>
  <r>
    <x v="0"/>
    <x v="0"/>
  </r>
  <r>
    <x v="2"/>
    <x v="0"/>
  </r>
  <r>
    <x v="3"/>
    <x v="1"/>
  </r>
  <r>
    <x v="0"/>
    <x v="0"/>
  </r>
  <r>
    <x v="1"/>
    <x v="0"/>
  </r>
  <r>
    <x v="0"/>
    <x v="0"/>
  </r>
  <r>
    <x v="0"/>
    <x v="0"/>
  </r>
  <r>
    <x v="0"/>
    <x v="0"/>
  </r>
  <r>
    <x v="0"/>
    <x v="1"/>
  </r>
  <r>
    <x v="1"/>
    <x v="1"/>
  </r>
  <r>
    <x v="0"/>
    <x v="0"/>
  </r>
  <r>
    <x v="0"/>
    <x v="0"/>
  </r>
  <r>
    <x v="0"/>
    <x v="1"/>
  </r>
  <r>
    <x v="1"/>
    <x v="0"/>
  </r>
  <r>
    <x v="2"/>
    <x v="0"/>
  </r>
  <r>
    <x v="0"/>
    <x v="1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count="31">
  <r>
    <x v="0"/>
  </r>
  <r>
    <x v="0"/>
  </r>
  <r>
    <x v="1"/>
  </r>
  <r>
    <x v="2"/>
  </r>
  <r>
    <x v="1"/>
  </r>
  <r>
    <x v="0"/>
  </r>
  <r>
    <x v="0"/>
  </r>
  <r>
    <x v="0"/>
  </r>
  <r>
    <x v="0"/>
  </r>
  <r>
    <x v="1"/>
  </r>
  <r>
    <x v="0"/>
  </r>
  <r>
    <x v="0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2"/>
  </r>
  <r>
    <x v="1"/>
  </r>
  <r>
    <x v="0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count="31"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count="31">
  <r>
    <x v="0"/>
  </r>
  <r>
    <x v="1"/>
  </r>
  <r>
    <x v="2"/>
  </r>
  <r>
    <x v="3"/>
  </r>
  <r>
    <x v="2"/>
  </r>
  <r>
    <x v="4"/>
  </r>
  <r>
    <x v="4"/>
  </r>
  <r>
    <x v="3"/>
  </r>
  <r>
    <x v="5"/>
  </r>
  <r>
    <x v="3"/>
  </r>
  <r>
    <x v="4"/>
  </r>
  <r>
    <x v="3"/>
  </r>
  <r>
    <x v="0"/>
  </r>
  <r>
    <x v="6"/>
  </r>
  <r>
    <x v="6"/>
  </r>
  <r>
    <x v="6"/>
  </r>
  <r>
    <x v="6"/>
  </r>
  <r>
    <x v="4"/>
  </r>
  <r>
    <x v="2"/>
  </r>
  <r>
    <x v="5"/>
  </r>
  <r>
    <x v="2"/>
  </r>
  <r>
    <x v="3"/>
  </r>
  <r>
    <x v="2"/>
  </r>
  <r>
    <x v="4"/>
  </r>
  <r>
    <x v="7"/>
  </r>
  <r>
    <x v="2"/>
  </r>
  <r>
    <x v="5"/>
  </r>
  <r>
    <x v="4"/>
  </r>
  <r>
    <x v="7"/>
  </r>
  <r>
    <x v="5"/>
  </r>
  <r>
    <x v="2"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count="31"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</pivotCacheRecords>
</file>

<file path=xl/pivotCache/pivotCacheRecords18.xml><?xml version="1.0" encoding="utf-8"?>
<pivotCacheRecords xmlns="http://schemas.openxmlformats.org/spreadsheetml/2006/main" xmlns:r="http://schemas.openxmlformats.org/officeDocument/2006/relationships" count="31">
  <r>
    <x v="0"/>
  </r>
  <r>
    <x v="0"/>
  </r>
  <r>
    <x v="0"/>
  </r>
  <r>
    <x v="0"/>
  </r>
  <r>
    <x v="0"/>
  </r>
  <r>
    <x v="0"/>
  </r>
  <r>
    <x v="0"/>
  </r>
  <r>
    <x v="0"/>
  </r>
  <r>
    <x v="1"/>
  </r>
  <r>
    <x v="2"/>
  </r>
  <r>
    <x v="0"/>
  </r>
  <r>
    <x v="0"/>
  </r>
  <r>
    <x v="1"/>
  </r>
  <r>
    <x v="2"/>
  </r>
  <r>
    <x v="1"/>
  </r>
  <r>
    <x v="0"/>
  </r>
  <r>
    <x v="2"/>
  </r>
  <r>
    <x v="3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2"/>
  </r>
  <r>
    <x v="0"/>
  </r>
</pivotCacheRecords>
</file>

<file path=xl/pivotCache/pivotCacheRecords1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</r>
  <r>
    <x v="0"/>
    <x v="0"/>
  </r>
  <r>
    <x v="1"/>
    <x v="1"/>
  </r>
  <r>
    <x v="2"/>
    <x v="0"/>
  </r>
  <r>
    <x v="1"/>
    <x v="0"/>
  </r>
  <r>
    <x v="0"/>
    <x v="0"/>
  </r>
  <r>
    <x v="0"/>
    <x v="0"/>
  </r>
  <r>
    <x v="0"/>
    <x v="0"/>
  </r>
  <r>
    <x v="0"/>
    <x v="0"/>
  </r>
  <r>
    <x v="1"/>
    <x v="2"/>
  </r>
  <r>
    <x v="0"/>
    <x v="2"/>
  </r>
  <r>
    <x v="0"/>
    <x v="2"/>
  </r>
  <r>
    <x v="2"/>
    <x v="0"/>
  </r>
  <r>
    <x v="2"/>
    <x v="2"/>
  </r>
  <r>
    <x v="2"/>
    <x v="0"/>
  </r>
  <r>
    <x v="2"/>
    <x v="2"/>
  </r>
  <r>
    <x v="2"/>
    <x v="2"/>
  </r>
  <r>
    <x v="2"/>
    <x v="0"/>
  </r>
  <r>
    <x v="0"/>
    <x v="0"/>
  </r>
  <r>
    <x v="0"/>
    <x v="2"/>
  </r>
  <r>
    <x v="0"/>
    <x v="0"/>
  </r>
  <r>
    <x v="0"/>
    <x v="0"/>
  </r>
  <r>
    <x v="0"/>
    <x v="2"/>
  </r>
  <r>
    <x v="0"/>
    <x v="2"/>
  </r>
  <r>
    <x v="1"/>
    <x v="2"/>
  </r>
  <r>
    <x v="0"/>
    <x v="2"/>
  </r>
  <r>
    <x v="0"/>
    <x v="0"/>
  </r>
  <r>
    <x v="0"/>
    <x v="2"/>
  </r>
  <r>
    <x v="2"/>
    <x v="0"/>
  </r>
  <r>
    <x v="1"/>
    <x v="2"/>
  </r>
  <r>
    <x v="0"/>
    <x v="2"/>
  </r>
</pivotCacheRecords>
</file>

<file path=xl/pivotCache/pivotCacheRecords2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</r>
  <r>
    <x v="0"/>
    <x v="0"/>
  </r>
  <r>
    <x v="1"/>
    <x v="0"/>
  </r>
  <r>
    <x v="2"/>
    <x v="0"/>
  </r>
  <r>
    <x v="1"/>
    <x v="0"/>
  </r>
  <r>
    <x v="0"/>
    <x v="0"/>
  </r>
  <r>
    <x v="0"/>
    <x v="0"/>
  </r>
  <r>
    <x v="0"/>
    <x v="0"/>
  </r>
  <r>
    <x v="0"/>
    <x v="0"/>
  </r>
  <r>
    <x v="1"/>
    <x v="1"/>
  </r>
  <r>
    <x v="0"/>
    <x v="1"/>
  </r>
  <r>
    <x v="0"/>
    <x v="1"/>
  </r>
  <r>
    <x v="2"/>
    <x v="0"/>
  </r>
  <r>
    <x v="2"/>
    <x v="1"/>
  </r>
  <r>
    <x v="2"/>
    <x v="0"/>
  </r>
  <r>
    <x v="2"/>
    <x v="1"/>
  </r>
  <r>
    <x v="2"/>
    <x v="1"/>
  </r>
  <r>
    <x v="2"/>
    <x v="0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1"/>
    <x v="1"/>
  </r>
  <r>
    <x v="0"/>
    <x v="1"/>
  </r>
  <r>
    <x v="0"/>
    <x v="0"/>
  </r>
  <r>
    <x v="0"/>
    <x v="1"/>
  </r>
  <r>
    <x v="2"/>
    <x v="0"/>
  </r>
  <r>
    <x v="1"/>
    <x v="1"/>
  </r>
  <r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 dinámica85" cacheId="14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D223:G229" firstHeaderRow="1" firstDataRow="2" firstDataCol="1"/>
  <pivotFields count="2">
    <pivotField axis="axisRow" dataField="1" showAll="0">
      <items count="5">
        <item x="0"/>
        <item x="2"/>
        <item x="1"/>
        <item x="3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uenta de 26 - 35 años" fld="0" subtotal="count" showDataAs="percentOfTotal" baseField="0" baseItem="0" numFmtId="1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Tabla dinámica87" cacheId="15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D259:G265" firstHeaderRow="1" firstDataRow="2" firstDataCol="1"/>
  <pivotFields count="2">
    <pivotField axis="axisCol" showAll="0">
      <items count="3">
        <item x="1"/>
        <item x="0"/>
        <item t="default"/>
      </items>
    </pivotField>
    <pivotField axis="axisRow" dataField="1" showAll="0">
      <items count="5">
        <item x="0"/>
        <item x="2"/>
        <item x="1"/>
        <item x="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uenta de 26 - 35 años" fld="1" subtotal="count" showDataAs="percentOfTotal" baseField="1" baseItem="0" numFmtId="1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5000000}" name="Tabla dinámica6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chartFormat="13">
  <location ref="E3:F7" firstHeaderRow="1" firstDataRow="1" firstDataCol="1"/>
  <pivotFields count="1">
    <pivotField axis="axisRow" dataField="1" showAll="0" sortType="descending">
      <items count="4">
        <item x="2"/>
        <item x="0"/>
        <item x="1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Saben solo de cambio climático" fld="0" subtotal="count" showDataAs="percentOfTotal" baseField="0" baseItem="0" numFmtId="10"/>
  </dataField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A000000}" name="Tabla dinámica75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chartFormat="5">
  <location ref="D87:H92" firstHeaderRow="1" firstDataRow="2" firstDataCol="1"/>
  <pivotFields count="2">
    <pivotField axis="axisCol" dataField="1" showAll="0">
      <items count="4">
        <item x="2"/>
        <item x="1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Cuenta de Palmira" fld="0" subtotal="count" showDataAs="percentOfTotal" baseField="1" baseItem="0" numFmtId="1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7000000}" name="Tabla dinámica70" cacheId="9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12">
  <location ref="C36:D39" firstHeaderRow="1" firstDataRow="1" firstDataCol="1"/>
  <pivotFields count="1">
    <pivotField axis="axisRow" dataField="1" showAll="0">
      <items count="3">
        <item x="1"/>
        <item x="0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uenta de Sí" fld="0" subtotal="count" showDataAs="percentOfTotal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9000000}" name="Tabla dinámica73" cacheId="1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17">
  <location ref="C73:G77" firstHeaderRow="1" firstDataRow="2" firstDataCol="1"/>
  <pivotFields count="2">
    <pivotField axis="axisCol" dataField="1" showAll="0">
      <items count="4">
        <item x="2"/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Cuenta de Palmira" fld="0" subtotal="count" showDataAs="percentOfTotal" baseField="1" baseItem="0" numFmtId="1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Tabla dinámica77" cacheId="1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9">
  <location ref="F111:K117" firstHeaderRow="1" firstDataRow="2" firstDataCol="1"/>
  <pivotFields count="2">
    <pivotField axis="axisRow" showAll="0">
      <items count="5">
        <item x="0"/>
        <item x="2"/>
        <item x="1"/>
        <item x="3"/>
        <item t="default"/>
      </items>
    </pivotField>
    <pivotField axis="axisCol" dataField="1" showAll="0">
      <items count="5">
        <item x="2"/>
        <item x="0"/>
        <item x="3"/>
        <item x="1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uenta de Fácil acceso a información detallada." fld="1" subtotal="count" showDataAs="percentOfTotal" baseField="0" baseItem="0" numFmtId="1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Tabla dinámica79" cacheId="12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9">
  <location ref="F149:K155" firstHeaderRow="1" firstDataRow="2" firstDataCol="1"/>
  <pivotFields count="2">
    <pivotField axis="axisRow" showAll="0">
      <items count="5">
        <item x="0"/>
        <item x="2"/>
        <item x="1"/>
        <item x="3"/>
        <item t="default"/>
      </items>
    </pivotField>
    <pivotField axis="axisCol" dataField="1" showAll="0">
      <items count="5">
        <item x="0"/>
        <item x="3"/>
        <item x="1"/>
        <item x="2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uenta de Artículos científicos." fld="1" subtotal="count" showDataAs="percentOfTotal" baseField="0" baseItem="0" numFmtId="10"/>
  </dataFields>
  <chartFormats count="1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6000000}" name="Tabla dinámica81" cacheId="12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B179:G185" firstHeaderRow="1" firstDataRow="2" firstDataCol="1"/>
  <pivotFields count="2">
    <pivotField axis="axisRow" showAll="0">
      <items count="5">
        <item x="0"/>
        <item x="2"/>
        <item x="1"/>
        <item x="3"/>
        <item t="default"/>
      </items>
    </pivotField>
    <pivotField axis="axisCol" dataField="1" showAll="0">
      <items count="5">
        <item x="0"/>
        <item x="3"/>
        <item x="1"/>
        <item x="2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uenta de Artículos científicos." fld="1" subtotal="count" showDataAs="percentOfTotal" baseField="0" baseItem="0" numFmtId="1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8000000}" name="Tabla dinámica83" cacheId="13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5">
  <location ref="C189:D192" firstHeaderRow="1" firstDataRow="1" firstDataCol="1"/>
  <pivotFields count="1">
    <pivotField axis="axisRow" dataField="1" showAll="0">
      <items count="3"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uenta de No" fld="0" subtotal="count" showDataAs="percentOfTotal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Tabla dinámica89" cacheId="16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D294:D303" firstHeaderRow="1" firstDataRow="1" firstDataCol="1"/>
  <pivotFields count="2">
    <pivotField axis="axisRow" showAll="0">
      <items count="5">
        <item x="0"/>
        <item x="2"/>
        <item x="1"/>
        <item x="3"/>
        <item t="default"/>
      </items>
    </pivotField>
    <pivotField axis="axisRow" showAll="0">
      <items count="3">
        <item x="0"/>
        <item x="1"/>
        <item t="default"/>
      </items>
    </pivotField>
  </pivotFields>
  <rowFields count="2">
    <field x="1"/>
    <field x="0"/>
  </rowFields>
  <rowItems count="9">
    <i>
      <x/>
    </i>
    <i r="1">
      <x/>
    </i>
    <i r="1">
      <x v="1"/>
    </i>
    <i r="1">
      <x v="2"/>
    </i>
    <i>
      <x v="1"/>
    </i>
    <i r="1">
      <x/>
    </i>
    <i r="1">
      <x v="2"/>
    </i>
    <i r="1">
      <x v="3"/>
    </i>
    <i t="grand">
      <x/>
    </i>
  </rowItems>
  <colItems count="1">
    <i/>
  </colItem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E000000}" name="Tabla dinámica92" cacheId="18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1">
  <location ref="C25:D28" firstHeaderRow="1" firstDataRow="1" firstDataCol="1"/>
  <pivotFields count="1">
    <pivotField axis="axisRow" dataField="1" showAll="0">
      <items count="3">
        <item x="1"/>
        <item x="0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uenta" fld="0" subtotal="count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D000000}" name="Tabla dinámica2" cacheId="4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29">
  <location ref="A3:D11" firstHeaderRow="1" firstDataRow="2" firstDataCol="1"/>
  <pivotFields count="2">
    <pivotField axis="axisRow" dataField="1" showAll="0">
      <items count="7">
        <item x="5"/>
        <item x="3"/>
        <item x="1"/>
        <item x="0"/>
        <item x="2"/>
        <item x="4"/>
        <item t="default"/>
      </items>
    </pivotField>
    <pivotField axis="axisCol" showAll="0">
      <items count="3">
        <item x="1"/>
        <item x="0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uenta de Pregrado" fld="0" subtotal="count" showDataAs="percentOfTotal" baseField="0" baseItem="0" numFmtId="10"/>
  </dataFields>
  <chartFormats count="5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C000000}" name="Tabla dinámica97" cacheId="19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H53:I62" firstHeaderRow="1" firstDataRow="1" firstDataCol="1"/>
  <pivotFields count="1">
    <pivotField axis="axisRow" dataField="1" showAll="0">
      <items count="9">
        <item x="5"/>
        <item x="6"/>
        <item x="1"/>
        <item x="0"/>
        <item x="4"/>
        <item x="2"/>
        <item x="3"/>
        <item x="7"/>
        <item t="default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uenta" fld="0" subtotal="count" showDataAs="percentOfTotal" baseField="0" baseItem="0" numFmtId="1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B000000}" name="Tabla dinámica96" cacheId="19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E44:F53" firstHeaderRow="1" firstDataRow="1" firstDataCol="1"/>
  <pivotFields count="1">
    <pivotField axis="axisRow" dataField="1" showAll="0">
      <items count="9">
        <item x="5"/>
        <item x="6"/>
        <item x="1"/>
        <item x="0"/>
        <item x="4"/>
        <item x="2"/>
        <item x="3"/>
        <item x="7"/>
        <item t="default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uenta de Estudiante" fld="0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13000000}" name="Tabla dinámica47" cacheId="5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6">
  <location ref="H1:K7" firstHeaderRow="1" firstDataRow="2" firstDataCol="1"/>
  <pivotFields count="2">
    <pivotField axis="axisRow" dataField="1" showAll="0">
      <items count="5">
        <item x="0"/>
        <item x="2"/>
        <item x="1"/>
        <item x="3"/>
        <item t="default"/>
      </items>
    </pivotField>
    <pivotField axis="axisCol" showAll="0">
      <items count="3">
        <item x="1"/>
        <item x="0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uenta de 26 - 35 años" fld="0" subtotal="count" showDataAs="percentOfTotal" baseField="0" baseItem="0" numFmtId="1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12000000}" name="Tabla dinámica101" cacheId="2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L107:M112" firstHeaderRow="1" firstDataRow="1" firstDataCol="1"/>
  <pivotFields count="1">
    <pivotField axis="axisRow" dataField="1" showAll="0">
      <items count="5">
        <item x="0"/>
        <item x="2"/>
        <item x="1"/>
        <item x="3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26 - 35 años" fld="0" subtotal="count" showDataAs="percentOfTotal" baseField="0" baseItem="0" numFmtId="1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11000000}" name="Tabla dinámica99" cacheId="2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J94:K97" firstHeaderRow="1" firstDataRow="1" firstDataCol="1"/>
  <pivotFields count="1">
    <pivotField axis="axisRow" dataField="1" showAll="0">
      <items count="3"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uenta de Femenino" fld="0" subtotal="count" showDataAs="percentOfTotal" baseField="0" baseItem="0" numFmtId="1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10000000}" name="Tabla dinámica90" cacheId="17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K56:L60" firstHeaderRow="1" firstDataRow="1" firstDataCol="1"/>
  <pivotFields count="1">
    <pivotField axis="axisRow" dataField="1" showAll="0">
      <items count="4">
        <item x="2"/>
        <item x="1"/>
        <item x="0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Palmira" fld="0" subtotal="count" showDataAs="percentOfTotal" baseField="0" baseItem="0" numFmtId="1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F000000}" name="Tabla dinámica50" cacheId="6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6">
  <location ref="H28:K32" firstHeaderRow="1" firstDataRow="2" firstDataCol="1"/>
  <pivotFields count="2">
    <pivotField axis="axisCol" showAll="0">
      <items count="3">
        <item x="1"/>
        <item x="0"/>
        <item t="default"/>
      </items>
    </pivotField>
    <pivotField axis="axisRow" dataField="1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uenta de Femenino" fld="1" subtotal="count" showDataAs="percentOfTotal" baseField="1" baseItem="0" numFmtId="1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19000000}" name="Tabla dinámica93" cacheId="18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7">
  <location ref="A294:B297" firstHeaderRow="1" firstDataRow="1" firstDataCol="1"/>
  <pivotFields count="1">
    <pivotField axis="axisRow" dataField="1" showAll="0">
      <items count="3">
        <item x="1"/>
        <item x="0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uenta " fld="0" subtotal="count" showDataAs="percentOfTotal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17000000}" name="Tabla dinámica58" cacheId="7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32">
  <location ref="A56:B59" firstHeaderRow="1" firstDataRow="1" firstDataCol="1"/>
  <pivotFields count="1">
    <pivotField axis="axisRow" dataField="1" showAll="0">
      <items count="3">
        <item x="1"/>
        <item x="0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uenta de No" fld="0" subtotal="count" showDataAs="percentOfTotal" baseField="0" baseItem="0" numFmtId="1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1E000000}" name="Tabla dinámica51" cacheId="4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19">
  <location ref="A1:D9" firstHeaderRow="1" firstDataRow="2" firstDataCol="1"/>
  <pivotFields count="2">
    <pivotField axis="axisRow" dataField="1" showAll="0">
      <items count="7">
        <item x="5"/>
        <item x="3"/>
        <item x="1"/>
        <item x="0"/>
        <item x="2"/>
        <item x="4"/>
        <item t="default"/>
      </items>
    </pivotField>
    <pivotField axis="axisCol" showAll="0">
      <items count="3">
        <item x="1"/>
        <item x="0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uenta de Pregrado" fld="0" subtotal="count" showDataAs="percentOfTotal" baseField="0" baseItem="0" numFmtId="1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7C3DF1-E30A-4CE0-A3C7-A7133696AD18}" name="PivotTable1" cacheId="23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10">
  <location ref="A129:E133" firstHeaderRow="1" firstDataRow="2" firstDataCol="1"/>
  <pivotFields count="2">
    <pivotField axis="axisCol" dataField="1" showAll="0">
      <items count="4">
        <item x="2"/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Cuenta de Palmira" fld="0" subtotal="count" showDataAs="percentOfTotal" baseField="0" baseItem="0" numFmtId="1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16000000}" name="Tabla dinámica91" cacheId="17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11">
  <location ref="A275:B279" firstHeaderRow="1" firstDataRow="1" firstDataCol="1"/>
  <pivotFields count="1">
    <pivotField axis="axisRow" dataField="1" showAll="0">
      <items count="4">
        <item x="2"/>
        <item x="1"/>
        <item x="0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  " fld="0" subtotal="count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1F000000}" name="Tabla dinámica98" cacheId="19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1">
  <location ref="A314:B323" firstHeaderRow="1" firstDataRow="1" firstDataCol="1"/>
  <pivotFields count="1">
    <pivotField axis="axisRow" dataField="1" showAll="0">
      <items count="9">
        <item x="5"/>
        <item x="6"/>
        <item x="1"/>
        <item x="0"/>
        <item x="4"/>
        <item x="2"/>
        <item x="3"/>
        <item x="7"/>
        <item t="default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uenta" fld="0" subtotal="count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24000000}" name="Tabla dinámica53" cacheId="6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1">
  <location ref="A38:D42" firstHeaderRow="1" firstDataRow="2" firstDataCol="1"/>
  <pivotFields count="2">
    <pivotField axis="axisCol" showAll="0">
      <items count="3">
        <item x="1"/>
        <item x="0"/>
        <item t="default"/>
      </items>
    </pivotField>
    <pivotField axis="axisRow" dataField="1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uenta de Femenino" fld="1" subtotal="count" showDataAs="percentOfTotal" baseField="1" baseItem="0" numFmtId="1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21000000}" name="Tabla dinámica74" cacheId="1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3">
  <location ref="A110:E114" firstHeaderRow="1" firstDataRow="2" firstDataCol="1"/>
  <pivotFields count="2">
    <pivotField axis="axisCol" dataField="1" showAll="0">
      <items count="4">
        <item x="2"/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Cuenta de Palmira" fld="0" subtotal="count" showDataAs="percentOfTotal" baseField="1" baseItem="0" numFmtId="1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18000000}" name="Tabla dinámica78" cacheId="1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1">
  <location ref="A148:F154" firstHeaderRow="1" firstDataRow="2" firstDataCol="1"/>
  <pivotFields count="2">
    <pivotField axis="axisRow" showAll="0">
      <items count="5">
        <item x="0"/>
        <item x="2"/>
        <item x="1"/>
        <item x="3"/>
        <item t="default"/>
      </items>
    </pivotField>
    <pivotField axis="axisCol" dataField="1" showAll="0">
      <items count="5">
        <item x="2"/>
        <item x="0"/>
        <item x="3"/>
        <item x="1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uenta de Fácil acceso a información detallada." fld="1" subtotal="count" showDataAs="percentOfTotal" baseField="0" baseItem="0" numFmtId="1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23000000}" name="Tabla dinámica100" cacheId="2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8">
  <location ref="A333:B336" firstHeaderRow="1" firstDataRow="1" firstDataCol="1"/>
  <pivotFields count="1">
    <pivotField axis="axisRow" dataField="1" showAll="0">
      <items count="3"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uenta " fld="0" subtotal="count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1A000000}" name="Tabla dinámica82" cacheId="12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2">
  <location ref="A167:F173" firstHeaderRow="1" firstDataRow="2" firstDataCol="1"/>
  <pivotFields count="2">
    <pivotField axis="axisRow" showAll="0">
      <items count="5">
        <item x="0"/>
        <item x="2"/>
        <item x="1"/>
        <item x="3"/>
        <item t="default"/>
      </items>
    </pivotField>
    <pivotField axis="axisCol" dataField="1" showAll="0">
      <items count="5">
        <item x="0"/>
        <item x="3"/>
        <item x="1"/>
        <item x="2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uenta de Artículos científicos." fld="1" subtotal="count" showDataAs="percentOfTotal" baseField="0" baseItem="0" numFmtId="1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1B000000}" name="Tabla dinámica69" cacheId="8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2">
  <location ref="A74:B78" firstHeaderRow="1" firstDataRow="1" firstDataCol="1"/>
  <pivotFields count="1">
    <pivotField axis="axisRow" dataField="1" showAll="0">
      <items count="4">
        <item x="1"/>
        <item x="0"/>
        <item x="2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Saben solo de cambio climático" fld="0" subtotal="count" showDataAs="percentOfTotal" baseField="0" baseItem="0" numFmtId="1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1D000000}" name="Tabla dinámica71" cacheId="9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1">
  <location ref="A92:B95" firstHeaderRow="1" firstDataRow="1" firstDataCol="1"/>
  <pivotFields count="1">
    <pivotField axis="axisRow" dataField="1" showAll="0">
      <items count="3">
        <item x="1"/>
        <item x="0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uenta de Sí" fld="0" subtotal="count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20000000}" name="Tabla dinámica86" cacheId="14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1">
  <location ref="A207:D213" firstHeaderRow="1" firstDataRow="2" firstDataCol="1"/>
  <pivotFields count="2">
    <pivotField axis="axisRow" dataField="1" showAll="0">
      <items count="5">
        <item x="0"/>
        <item x="2"/>
        <item x="1"/>
        <item x="3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uenta de 26 - 35 años" fld="0" subtotal="count" showDataAs="percentOfTotal" baseField="0" baseItem="0" numFmtId="1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22000000}" name="Tabla dinámica52" cacheId="5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1">
  <location ref="A20:D26" firstHeaderRow="1" firstDataRow="2" firstDataCol="1"/>
  <pivotFields count="2">
    <pivotField axis="axisRow" dataField="1" showAll="0">
      <items count="5">
        <item x="0"/>
        <item x="2"/>
        <item x="1"/>
        <item x="3"/>
        <item t="default"/>
      </items>
    </pivotField>
    <pivotField axis="axisCol" showAll="0">
      <items count="3">
        <item x="1"/>
        <item x="0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uenta de 26 - 35 años" fld="0" subtotal="count" showDataAs="percentOfTotal" baseField="0" baseItem="0" numFmtId="1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14000000}" name="Tabla dinámica88" cacheId="15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1">
  <location ref="A228:D234" firstHeaderRow="1" firstDataRow="2" firstDataCol="1"/>
  <pivotFields count="2">
    <pivotField axis="axisCol" showAll="0">
      <items count="3">
        <item x="1"/>
        <item x="0"/>
        <item t="default"/>
      </items>
    </pivotField>
    <pivotField axis="axisRow" dataField="1" showAll="0">
      <items count="5">
        <item x="0"/>
        <item x="2"/>
        <item x="1"/>
        <item x="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uenta de 26 - 35 años" fld="1" subtotal="count" showDataAs="percentOfTotal" baseField="1" baseItem="0" numFmtId="1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1C000000}" name="Tabla dinámica84" cacheId="13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3">
  <location ref="A186:B189" firstHeaderRow="1" firstDataRow="1" firstDataCol="1"/>
  <pivotFields count="1">
    <pivotField axis="axisRow" dataField="1" showAll="0">
      <items count="3"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uenta de No" fld="0" subtotal="count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25000000}" name="Tabla dinámica102" cacheId="2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4">
  <location ref="A353:B358" firstHeaderRow="1" firstDataRow="1" firstDataCol="1"/>
  <pivotFields count="1">
    <pivotField axis="axisRow" dataField="1" showAll="0">
      <items count="5">
        <item x="0"/>
        <item x="2"/>
        <item x="1"/>
        <item x="3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" fld="0" subtotal="count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M33" headerRowCount="0">
  <tableColumns count="39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  <tableColumn id="36" xr3:uid="{00000000-0010-0000-0000-000024000000}" name="Column36"/>
    <tableColumn id="37" xr3:uid="{00000000-0010-0000-0000-000025000000}" name="Column37"/>
    <tableColumn id="38" xr3:uid="{00000000-0010-0000-0000-000026000000}" name="Column38"/>
    <tableColumn id="39" xr3:uid="{00000000-0010-0000-0000-000027000000}" name="Column39"/>
  </tableColumns>
  <tableStyleInfo name="Form Responses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BEF865-F55A-4DE5-BDC9-D74221ED58F2}" name="Table2" displayName="Table2" ref="A3:A7" totalsRowShown="0">
  <autoFilter ref="A3:A7" xr:uid="{C0BEF865-F55A-4DE5-BDC9-D74221ED58F2}"/>
  <tableColumns count="1">
    <tableColumn id="1" xr3:uid="{C44E88AC-1FDD-4604-911B-A02303253010}" name="Saben solo de cambio climático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3B9138-9228-408E-8F03-9B550D4E0DBB}" name="Table3" displayName="Table3" ref="A3:A7" totalsRowShown="0">
  <autoFilter ref="A3:A7" xr:uid="{DB3B9138-9228-408E-8F03-9B550D4E0DBB}"/>
  <tableColumns count="1">
    <tableColumn id="1" xr3:uid="{06ECB53F-6B45-4D13-8EED-BC2442879C1B}" name="Sí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4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1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8.xml"/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20.xml"/><Relationship Id="rId4" Type="http://schemas.openxmlformats.org/officeDocument/2006/relationships/pivotTable" Target="../pivotTables/pivotTable19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8.xml"/><Relationship Id="rId13" Type="http://schemas.openxmlformats.org/officeDocument/2006/relationships/pivotTable" Target="../pivotTables/pivotTable33.xml"/><Relationship Id="rId18" Type="http://schemas.openxmlformats.org/officeDocument/2006/relationships/pivotTable" Target="../pivotTables/pivotTable38.xml"/><Relationship Id="rId3" Type="http://schemas.openxmlformats.org/officeDocument/2006/relationships/pivotTable" Target="../pivotTables/pivotTable23.xml"/><Relationship Id="rId7" Type="http://schemas.openxmlformats.org/officeDocument/2006/relationships/pivotTable" Target="../pivotTables/pivotTable27.xml"/><Relationship Id="rId12" Type="http://schemas.openxmlformats.org/officeDocument/2006/relationships/pivotTable" Target="../pivotTables/pivotTable32.xml"/><Relationship Id="rId17" Type="http://schemas.openxmlformats.org/officeDocument/2006/relationships/pivotTable" Target="../pivotTables/pivotTable37.xml"/><Relationship Id="rId2" Type="http://schemas.openxmlformats.org/officeDocument/2006/relationships/pivotTable" Target="../pivotTables/pivotTable22.xml"/><Relationship Id="rId16" Type="http://schemas.openxmlformats.org/officeDocument/2006/relationships/pivotTable" Target="../pivotTables/pivotTable36.xml"/><Relationship Id="rId20" Type="http://schemas.openxmlformats.org/officeDocument/2006/relationships/drawing" Target="../drawings/drawing4.xml"/><Relationship Id="rId1" Type="http://schemas.openxmlformats.org/officeDocument/2006/relationships/pivotTable" Target="../pivotTables/pivotTable21.xml"/><Relationship Id="rId6" Type="http://schemas.openxmlformats.org/officeDocument/2006/relationships/pivotTable" Target="../pivotTables/pivotTable26.xml"/><Relationship Id="rId11" Type="http://schemas.openxmlformats.org/officeDocument/2006/relationships/pivotTable" Target="../pivotTables/pivotTable31.xml"/><Relationship Id="rId5" Type="http://schemas.openxmlformats.org/officeDocument/2006/relationships/pivotTable" Target="../pivotTables/pivotTable25.xml"/><Relationship Id="rId15" Type="http://schemas.openxmlformats.org/officeDocument/2006/relationships/pivotTable" Target="../pivotTables/pivotTable35.xml"/><Relationship Id="rId10" Type="http://schemas.openxmlformats.org/officeDocument/2006/relationships/pivotTable" Target="../pivotTables/pivotTable30.xml"/><Relationship Id="rId19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24.xml"/><Relationship Id="rId9" Type="http://schemas.openxmlformats.org/officeDocument/2006/relationships/pivotTable" Target="../pivotTables/pivotTable29.xml"/><Relationship Id="rId14" Type="http://schemas.openxmlformats.org/officeDocument/2006/relationships/pivotTable" Target="../pivotTables/pivotTable3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outlinePr summaryBelow="0" summaryRight="0"/>
  </sheetPr>
  <dimension ref="A1:AM133"/>
  <sheetViews>
    <sheetView topLeftCell="R1" workbookViewId="0">
      <pane ySplit="1" topLeftCell="A17" activePane="bottomLeft" state="frozen"/>
      <selection pane="bottomLeft" activeCell="V21" sqref="V21"/>
    </sheetView>
  </sheetViews>
  <sheetFormatPr defaultColWidth="12.6640625" defaultRowHeight="15.75" customHeight="1" x14ac:dyDescent="0.25"/>
  <cols>
    <col min="1" max="2" width="18.88671875" customWidth="1"/>
    <col min="3" max="3" width="18.77734375" customWidth="1"/>
    <col min="4" max="4" width="14.77734375" customWidth="1"/>
    <col min="5" max="5" width="13.88671875" customWidth="1"/>
    <col min="6" max="6" width="12.88671875" customWidth="1"/>
    <col min="7" max="7" width="13.88671875" customWidth="1"/>
    <col min="8" max="8" width="13.109375" customWidth="1"/>
    <col min="9" max="9" width="19.77734375" customWidth="1"/>
    <col min="10" max="10" width="19" customWidth="1"/>
    <col min="11" max="11" width="35" customWidth="1"/>
    <col min="12" max="12" width="30.109375" customWidth="1"/>
    <col min="13" max="13" width="23.88671875" customWidth="1"/>
    <col min="14" max="14" width="35.77734375" customWidth="1"/>
    <col min="15" max="15" width="29.88671875" customWidth="1"/>
    <col min="16" max="16" width="18.33203125" customWidth="1"/>
    <col min="17" max="17" width="32.21875" customWidth="1"/>
    <col min="18" max="18" width="34.33203125" customWidth="1"/>
    <col min="19" max="19" width="28" customWidth="1"/>
    <col min="20" max="20" width="36.44140625" customWidth="1"/>
    <col min="21" max="21" width="26.109375" customWidth="1"/>
    <col min="22" max="22" width="15.44140625" customWidth="1"/>
    <col min="23" max="23" width="29.33203125" customWidth="1"/>
    <col min="24" max="24" width="23.88671875" customWidth="1"/>
    <col min="25" max="25" width="37.109375" customWidth="1"/>
    <col min="26" max="26" width="25.33203125" customWidth="1"/>
    <col min="27" max="27" width="19.88671875" customWidth="1"/>
    <col min="28" max="28" width="18.21875" customWidth="1"/>
    <col min="29" max="29" width="19.6640625" customWidth="1"/>
    <col min="30" max="30" width="21.33203125" customWidth="1"/>
    <col min="31" max="31" width="17" customWidth="1"/>
    <col min="32" max="32" width="25.33203125" customWidth="1"/>
    <col min="33" max="33" width="24.21875" customWidth="1"/>
    <col min="34" max="34" width="40.88671875" customWidth="1"/>
    <col min="35" max="35" width="37.6640625" customWidth="1"/>
    <col min="36" max="36" width="39.33203125" customWidth="1"/>
    <col min="37" max="37" width="33.6640625" customWidth="1"/>
    <col min="38" max="38" width="31.33203125" customWidth="1"/>
    <col min="39" max="39" width="42.109375" customWidth="1"/>
    <col min="40" max="45" width="18.88671875" customWidth="1"/>
  </cols>
  <sheetData>
    <row r="1" spans="1:39" ht="42.6" customHeight="1" x14ac:dyDescent="0.25">
      <c r="A1" s="1" t="s">
        <v>0</v>
      </c>
      <c r="B1" s="1" t="s">
        <v>1</v>
      </c>
      <c r="C1" s="4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30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 spans="1:39" ht="40.799999999999997" customHeight="1" x14ac:dyDescent="0.25">
      <c r="A2" s="3">
        <v>45918.484405543983</v>
      </c>
      <c r="B2" s="4">
        <v>45918</v>
      </c>
      <c r="C2" s="5" t="s">
        <v>76</v>
      </c>
      <c r="D2" s="5" t="s">
        <v>38</v>
      </c>
      <c r="E2" s="5" t="s">
        <v>39</v>
      </c>
      <c r="F2" s="5" t="s">
        <v>40</v>
      </c>
      <c r="G2" s="5" t="s">
        <v>41</v>
      </c>
      <c r="H2" s="5" t="s">
        <v>42</v>
      </c>
      <c r="I2" s="5" t="s">
        <v>43</v>
      </c>
      <c r="J2" s="5" t="s">
        <v>44</v>
      </c>
      <c r="K2" s="5" t="s">
        <v>45</v>
      </c>
      <c r="L2" s="5" t="s">
        <v>46</v>
      </c>
      <c r="M2" s="5"/>
      <c r="N2" s="5" t="s">
        <v>46</v>
      </c>
      <c r="O2" s="5" t="s">
        <v>47</v>
      </c>
      <c r="P2" s="5" t="s">
        <v>46</v>
      </c>
      <c r="Q2" s="5"/>
      <c r="R2" s="5" t="s">
        <v>48</v>
      </c>
      <c r="S2" s="5" t="s">
        <v>46</v>
      </c>
      <c r="T2" s="5"/>
      <c r="U2" s="5" t="s">
        <v>46</v>
      </c>
      <c r="V2" s="5"/>
      <c r="W2" s="5" t="s">
        <v>46</v>
      </c>
      <c r="X2" s="5"/>
      <c r="Y2" s="5" t="s">
        <v>46</v>
      </c>
      <c r="Z2" s="5"/>
      <c r="AA2" s="5" t="s">
        <v>49</v>
      </c>
      <c r="AB2" s="6" t="s">
        <v>50</v>
      </c>
      <c r="AC2" s="6" t="s">
        <v>50</v>
      </c>
      <c r="AD2" s="5" t="s">
        <v>46</v>
      </c>
      <c r="AE2" s="5"/>
      <c r="AF2" s="5" t="s">
        <v>44</v>
      </c>
      <c r="AG2" s="5" t="s">
        <v>51</v>
      </c>
      <c r="AH2" s="5" t="s">
        <v>52</v>
      </c>
      <c r="AI2" s="5" t="s">
        <v>53</v>
      </c>
      <c r="AJ2" s="5" t="s">
        <v>54</v>
      </c>
      <c r="AK2" s="5" t="s">
        <v>46</v>
      </c>
      <c r="AL2" s="5"/>
      <c r="AM2" s="5">
        <v>3</v>
      </c>
    </row>
    <row r="3" spans="1:39" ht="31.2" customHeight="1" x14ac:dyDescent="0.25">
      <c r="A3" s="3">
        <v>45919.529833969907</v>
      </c>
      <c r="B3" s="4">
        <v>45919</v>
      </c>
      <c r="C3" s="5" t="s">
        <v>65</v>
      </c>
      <c r="D3" s="5" t="s">
        <v>38</v>
      </c>
      <c r="E3" s="5" t="s">
        <v>55</v>
      </c>
      <c r="F3" s="5" t="s">
        <v>56</v>
      </c>
      <c r="G3" s="5" t="s">
        <v>41</v>
      </c>
      <c r="H3" s="5" t="s">
        <v>57</v>
      </c>
      <c r="I3" s="5" t="s">
        <v>58</v>
      </c>
      <c r="J3" s="5" t="s">
        <v>44</v>
      </c>
      <c r="K3" s="5" t="s">
        <v>59</v>
      </c>
      <c r="L3" s="5" t="s">
        <v>46</v>
      </c>
      <c r="M3" s="5"/>
      <c r="N3" s="5" t="s">
        <v>44</v>
      </c>
      <c r="O3" s="5" t="s">
        <v>47</v>
      </c>
      <c r="P3" s="5" t="s">
        <v>44</v>
      </c>
      <c r="Q3" s="5" t="s">
        <v>60</v>
      </c>
      <c r="R3" s="5" t="s">
        <v>61</v>
      </c>
      <c r="S3" s="5" t="s">
        <v>46</v>
      </c>
      <c r="T3" s="5"/>
      <c r="U3" s="5" t="s">
        <v>46</v>
      </c>
      <c r="V3" s="5"/>
      <c r="W3" s="5" t="s">
        <v>46</v>
      </c>
      <c r="X3" s="5"/>
      <c r="Y3" s="5" t="s">
        <v>46</v>
      </c>
      <c r="Z3" s="5"/>
      <c r="AA3" s="5" t="s">
        <v>49</v>
      </c>
      <c r="AB3" s="6" t="s">
        <v>50</v>
      </c>
      <c r="AC3" s="6" t="s">
        <v>50</v>
      </c>
      <c r="AD3" s="5" t="s">
        <v>46</v>
      </c>
      <c r="AE3" s="5"/>
      <c r="AF3" s="5" t="s">
        <v>46</v>
      </c>
      <c r="AG3" s="5"/>
      <c r="AH3" s="5" t="s">
        <v>62</v>
      </c>
      <c r="AI3" s="5" t="s">
        <v>63</v>
      </c>
      <c r="AJ3" s="5" t="s">
        <v>64</v>
      </c>
      <c r="AK3" s="5" t="s">
        <v>46</v>
      </c>
      <c r="AL3" s="5"/>
      <c r="AM3" s="5">
        <v>3</v>
      </c>
    </row>
    <row r="4" spans="1:39" ht="35.4" customHeight="1" x14ac:dyDescent="0.25">
      <c r="A4" s="3">
        <v>45919.53499291667</v>
      </c>
      <c r="B4" s="4">
        <v>45919</v>
      </c>
      <c r="C4" s="5" t="s">
        <v>65</v>
      </c>
      <c r="D4" s="5" t="s">
        <v>38</v>
      </c>
      <c r="E4" s="5" t="s">
        <v>66</v>
      </c>
      <c r="F4" s="5" t="s">
        <v>56</v>
      </c>
      <c r="G4" s="5" t="s">
        <v>142</v>
      </c>
      <c r="H4" s="5" t="s">
        <v>57</v>
      </c>
      <c r="I4" s="5" t="s">
        <v>58</v>
      </c>
      <c r="J4" s="5" t="s">
        <v>44</v>
      </c>
      <c r="K4" s="5" t="s">
        <v>67</v>
      </c>
      <c r="L4" s="5" t="s">
        <v>46</v>
      </c>
      <c r="M4" s="5" t="s">
        <v>68</v>
      </c>
      <c r="N4" s="5" t="s">
        <v>46</v>
      </c>
      <c r="O4" s="5" t="s">
        <v>69</v>
      </c>
      <c r="P4" s="5" t="s">
        <v>44</v>
      </c>
      <c r="Q4" s="5" t="s">
        <v>70</v>
      </c>
      <c r="R4" s="5" t="s">
        <v>61</v>
      </c>
      <c r="S4" s="5" t="s">
        <v>46</v>
      </c>
      <c r="T4" s="5"/>
      <c r="U4" s="5" t="s">
        <v>46</v>
      </c>
      <c r="V4" s="5"/>
      <c r="W4" s="5" t="s">
        <v>46</v>
      </c>
      <c r="X4" s="5"/>
      <c r="Y4" s="5" t="s">
        <v>46</v>
      </c>
      <c r="Z4" s="5"/>
      <c r="AA4" s="5" t="s">
        <v>71</v>
      </c>
      <c r="AB4" s="6" t="s">
        <v>50</v>
      </c>
      <c r="AC4" s="6" t="s">
        <v>50</v>
      </c>
      <c r="AD4" s="5" t="s">
        <v>46</v>
      </c>
      <c r="AE4" s="5"/>
      <c r="AF4" s="5" t="s">
        <v>44</v>
      </c>
      <c r="AG4" s="5" t="s">
        <v>72</v>
      </c>
      <c r="AH4" s="5" t="s">
        <v>73</v>
      </c>
      <c r="AI4" s="5" t="s">
        <v>74</v>
      </c>
      <c r="AJ4" s="5" t="s">
        <v>75</v>
      </c>
      <c r="AK4" s="5" t="s">
        <v>46</v>
      </c>
      <c r="AL4" s="5"/>
      <c r="AM4" s="5">
        <v>3</v>
      </c>
    </row>
    <row r="5" spans="1:39" ht="22.2" customHeight="1" x14ac:dyDescent="0.25">
      <c r="A5" s="3">
        <v>45919.546143356478</v>
      </c>
      <c r="B5" s="4">
        <v>45919</v>
      </c>
      <c r="C5" s="5" t="s">
        <v>76</v>
      </c>
      <c r="D5" s="5" t="s">
        <v>38</v>
      </c>
      <c r="E5" s="5" t="s">
        <v>39</v>
      </c>
      <c r="F5" s="5" t="s">
        <v>77</v>
      </c>
      <c r="G5" s="5" t="s">
        <v>41</v>
      </c>
      <c r="H5" s="5" t="s">
        <v>57</v>
      </c>
      <c r="I5" s="5" t="s">
        <v>58</v>
      </c>
      <c r="J5" s="5" t="s">
        <v>44</v>
      </c>
      <c r="K5" s="5" t="s">
        <v>78</v>
      </c>
      <c r="L5" s="5" t="s">
        <v>46</v>
      </c>
      <c r="M5" s="5"/>
      <c r="N5" s="5" t="s">
        <v>46</v>
      </c>
      <c r="O5" s="5" t="s">
        <v>79</v>
      </c>
      <c r="P5" s="5" t="s">
        <v>44</v>
      </c>
      <c r="Q5" s="5" t="s">
        <v>81</v>
      </c>
      <c r="R5" s="5" t="s">
        <v>82</v>
      </c>
      <c r="S5" s="5" t="s">
        <v>46</v>
      </c>
      <c r="T5" s="5"/>
      <c r="U5" s="5" t="s">
        <v>46</v>
      </c>
      <c r="V5" s="5"/>
      <c r="W5" s="5" t="s">
        <v>46</v>
      </c>
      <c r="X5" s="5"/>
      <c r="Y5" s="5" t="s">
        <v>46</v>
      </c>
      <c r="Z5" s="5"/>
      <c r="AA5" s="5" t="s">
        <v>50</v>
      </c>
      <c r="AB5" s="6" t="s">
        <v>50</v>
      </c>
      <c r="AC5" s="6" t="s">
        <v>50</v>
      </c>
      <c r="AD5" s="5" t="s">
        <v>46</v>
      </c>
      <c r="AE5" s="5"/>
      <c r="AF5" s="5" t="s">
        <v>46</v>
      </c>
      <c r="AG5" s="5"/>
      <c r="AH5" s="5" t="s">
        <v>83</v>
      </c>
      <c r="AI5" s="5" t="s">
        <v>84</v>
      </c>
      <c r="AJ5" s="5" t="s">
        <v>85</v>
      </c>
      <c r="AK5" s="5" t="s">
        <v>46</v>
      </c>
      <c r="AL5" s="5"/>
      <c r="AM5" s="5">
        <v>2</v>
      </c>
    </row>
    <row r="6" spans="1:39" ht="66" x14ac:dyDescent="0.25">
      <c r="A6" s="3">
        <v>45919.550026655095</v>
      </c>
      <c r="B6" s="4">
        <v>45919</v>
      </c>
      <c r="C6" s="5" t="s">
        <v>86</v>
      </c>
      <c r="D6" s="5" t="s">
        <v>38</v>
      </c>
      <c r="E6" s="5" t="s">
        <v>87</v>
      </c>
      <c r="F6" s="5" t="s">
        <v>40</v>
      </c>
      <c r="G6" s="5" t="s">
        <v>142</v>
      </c>
      <c r="H6" s="5" t="s">
        <v>57</v>
      </c>
      <c r="I6" s="5" t="s">
        <v>58</v>
      </c>
      <c r="J6" s="5" t="s">
        <v>44</v>
      </c>
      <c r="K6" s="5" t="s">
        <v>88</v>
      </c>
      <c r="L6" s="5" t="s">
        <v>46</v>
      </c>
      <c r="M6" s="5"/>
      <c r="N6" s="5" t="s">
        <v>46</v>
      </c>
      <c r="O6" s="5" t="s">
        <v>79</v>
      </c>
      <c r="P6" s="5" t="s">
        <v>44</v>
      </c>
      <c r="Q6" s="5" t="s">
        <v>89</v>
      </c>
      <c r="R6" s="5" t="s">
        <v>61</v>
      </c>
      <c r="S6" s="5" t="s">
        <v>46</v>
      </c>
      <c r="T6" s="5"/>
      <c r="U6" s="5" t="s">
        <v>46</v>
      </c>
      <c r="V6" s="5"/>
      <c r="W6" s="5" t="s">
        <v>46</v>
      </c>
      <c r="X6" s="5"/>
      <c r="Y6" s="5" t="s">
        <v>44</v>
      </c>
      <c r="Z6" s="5" t="s">
        <v>90</v>
      </c>
      <c r="AA6" s="5" t="s">
        <v>49</v>
      </c>
      <c r="AB6" s="6" t="s">
        <v>50</v>
      </c>
      <c r="AC6" s="6" t="s">
        <v>50</v>
      </c>
      <c r="AD6" s="5" t="s">
        <v>46</v>
      </c>
      <c r="AE6" s="5"/>
      <c r="AF6" s="5" t="s">
        <v>44</v>
      </c>
      <c r="AG6" s="5" t="s">
        <v>91</v>
      </c>
      <c r="AH6" s="5" t="s">
        <v>92</v>
      </c>
      <c r="AI6" s="5" t="s">
        <v>93</v>
      </c>
      <c r="AJ6" s="5" t="s">
        <v>94</v>
      </c>
      <c r="AK6" s="5" t="s">
        <v>44</v>
      </c>
      <c r="AL6" s="5" t="s">
        <v>95</v>
      </c>
      <c r="AM6" s="5">
        <v>1</v>
      </c>
    </row>
    <row r="7" spans="1:39" ht="132" x14ac:dyDescent="0.25">
      <c r="A7" s="3">
        <v>45919.552508067129</v>
      </c>
      <c r="B7" s="4">
        <v>45919</v>
      </c>
      <c r="C7" s="5" t="s">
        <v>76</v>
      </c>
      <c r="D7" s="5" t="s">
        <v>38</v>
      </c>
      <c r="E7" s="5" t="s">
        <v>39</v>
      </c>
      <c r="F7" s="5" t="s">
        <v>96</v>
      </c>
      <c r="G7" s="5" t="s">
        <v>41</v>
      </c>
      <c r="H7" s="5" t="s">
        <v>57</v>
      </c>
      <c r="I7" s="5" t="s">
        <v>58</v>
      </c>
      <c r="J7" s="5" t="s">
        <v>44</v>
      </c>
      <c r="K7" s="5" t="s">
        <v>97</v>
      </c>
      <c r="L7" s="5" t="s">
        <v>46</v>
      </c>
      <c r="M7" s="5"/>
      <c r="N7" s="5" t="s">
        <v>44</v>
      </c>
      <c r="O7" s="5" t="s">
        <v>79</v>
      </c>
      <c r="P7" s="5" t="s">
        <v>44</v>
      </c>
      <c r="Q7" s="5" t="s">
        <v>98</v>
      </c>
      <c r="R7" s="5" t="s">
        <v>99</v>
      </c>
      <c r="S7" s="5" t="s">
        <v>44</v>
      </c>
      <c r="T7" s="5" t="s">
        <v>100</v>
      </c>
      <c r="U7" s="5" t="s">
        <v>46</v>
      </c>
      <c r="V7" s="5"/>
      <c r="W7" s="5" t="s">
        <v>46</v>
      </c>
      <c r="X7" s="5"/>
      <c r="Y7" s="5" t="s">
        <v>44</v>
      </c>
      <c r="Z7" s="5" t="s">
        <v>101</v>
      </c>
      <c r="AA7" s="5" t="s">
        <v>49</v>
      </c>
      <c r="AB7" s="6" t="s">
        <v>50</v>
      </c>
      <c r="AC7" s="6" t="s">
        <v>50</v>
      </c>
      <c r="AD7" s="5" t="s">
        <v>46</v>
      </c>
      <c r="AE7" s="5"/>
      <c r="AF7" s="5" t="s">
        <v>44</v>
      </c>
      <c r="AG7" s="5" t="s">
        <v>102</v>
      </c>
      <c r="AH7" s="5" t="s">
        <v>103</v>
      </c>
      <c r="AI7" s="5" t="s">
        <v>104</v>
      </c>
      <c r="AJ7" s="5" t="s">
        <v>105</v>
      </c>
      <c r="AK7" s="5" t="s">
        <v>44</v>
      </c>
      <c r="AL7" s="5" t="s">
        <v>106</v>
      </c>
      <c r="AM7" s="5">
        <v>4</v>
      </c>
    </row>
    <row r="8" spans="1:39" ht="39.6" x14ac:dyDescent="0.25">
      <c r="A8" s="3">
        <v>45919.552998252315</v>
      </c>
      <c r="B8" s="4">
        <v>45919</v>
      </c>
      <c r="C8" s="5" t="s">
        <v>65</v>
      </c>
      <c r="D8" s="5" t="s">
        <v>38</v>
      </c>
      <c r="E8" s="5" t="s">
        <v>107</v>
      </c>
      <c r="F8" s="5" t="s">
        <v>77</v>
      </c>
      <c r="G8" s="5" t="s">
        <v>41</v>
      </c>
      <c r="H8" s="5" t="s">
        <v>57</v>
      </c>
      <c r="I8" s="5" t="s">
        <v>58</v>
      </c>
      <c r="J8" s="5" t="s">
        <v>44</v>
      </c>
      <c r="K8" s="5" t="s">
        <v>108</v>
      </c>
      <c r="L8" s="5" t="s">
        <v>46</v>
      </c>
      <c r="M8" s="5"/>
      <c r="N8" s="5" t="s">
        <v>46</v>
      </c>
      <c r="O8" s="5" t="s">
        <v>69</v>
      </c>
      <c r="P8" s="5" t="s">
        <v>44</v>
      </c>
      <c r="Q8" s="5" t="s">
        <v>109</v>
      </c>
      <c r="R8" s="5" t="s">
        <v>99</v>
      </c>
      <c r="S8" s="5" t="s">
        <v>46</v>
      </c>
      <c r="T8" s="5"/>
      <c r="U8" s="5" t="s">
        <v>46</v>
      </c>
      <c r="V8" s="5"/>
      <c r="W8" s="5" t="s">
        <v>46</v>
      </c>
      <c r="X8" s="5"/>
      <c r="Y8" s="5" t="s">
        <v>44</v>
      </c>
      <c r="Z8" s="5" t="s">
        <v>110</v>
      </c>
      <c r="AA8" s="5" t="s">
        <v>50</v>
      </c>
      <c r="AB8" s="6" t="s">
        <v>50</v>
      </c>
      <c r="AC8" s="6" t="s">
        <v>71</v>
      </c>
      <c r="AD8" s="5" t="s">
        <v>46</v>
      </c>
      <c r="AE8" s="5"/>
      <c r="AF8" s="5" t="s">
        <v>44</v>
      </c>
      <c r="AG8" s="5" t="s">
        <v>111</v>
      </c>
      <c r="AH8" s="5" t="s">
        <v>112</v>
      </c>
      <c r="AI8" s="5" t="s">
        <v>113</v>
      </c>
      <c r="AJ8" s="5" t="s">
        <v>114</v>
      </c>
      <c r="AK8" s="5" t="s">
        <v>46</v>
      </c>
      <c r="AL8" s="5"/>
      <c r="AM8" s="5">
        <v>3</v>
      </c>
    </row>
    <row r="9" spans="1:39" ht="52.8" x14ac:dyDescent="0.25">
      <c r="A9" s="3">
        <v>45919.582153263887</v>
      </c>
      <c r="B9" s="4">
        <v>45919</v>
      </c>
      <c r="C9" s="5" t="s">
        <v>65</v>
      </c>
      <c r="D9" s="5" t="s">
        <v>38</v>
      </c>
      <c r="E9" s="5" t="s">
        <v>107</v>
      </c>
      <c r="F9" s="5" t="s">
        <v>77</v>
      </c>
      <c r="G9" s="5" t="s">
        <v>41</v>
      </c>
      <c r="H9" s="5" t="s">
        <v>57</v>
      </c>
      <c r="I9" s="5" t="s">
        <v>58</v>
      </c>
      <c r="J9" s="5" t="s">
        <v>44</v>
      </c>
      <c r="K9" s="5" t="s">
        <v>115</v>
      </c>
      <c r="L9" s="5" t="s">
        <v>46</v>
      </c>
      <c r="M9" s="5"/>
      <c r="N9" s="5" t="s">
        <v>44</v>
      </c>
      <c r="O9" s="5" t="s">
        <v>79</v>
      </c>
      <c r="P9" s="5" t="s">
        <v>44</v>
      </c>
      <c r="Q9" s="5" t="s">
        <v>116</v>
      </c>
      <c r="R9" s="5" t="s">
        <v>61</v>
      </c>
      <c r="S9" s="5" t="s">
        <v>46</v>
      </c>
      <c r="T9" s="5"/>
      <c r="U9" s="5" t="s">
        <v>46</v>
      </c>
      <c r="V9" s="5"/>
      <c r="W9" s="5" t="s">
        <v>46</v>
      </c>
      <c r="X9" s="5"/>
      <c r="Y9" s="5" t="s">
        <v>46</v>
      </c>
      <c r="Z9" s="5"/>
      <c r="AA9" s="5" t="s">
        <v>50</v>
      </c>
      <c r="AB9" s="6" t="s">
        <v>50</v>
      </c>
      <c r="AC9" s="6" t="s">
        <v>50</v>
      </c>
      <c r="AD9" s="5" t="s">
        <v>46</v>
      </c>
      <c r="AE9" s="5"/>
      <c r="AF9" s="5" t="s">
        <v>44</v>
      </c>
      <c r="AG9" s="5" t="s">
        <v>117</v>
      </c>
      <c r="AH9" s="5" t="s">
        <v>118</v>
      </c>
      <c r="AI9" s="5" t="s">
        <v>119</v>
      </c>
      <c r="AJ9" s="5" t="s">
        <v>54</v>
      </c>
      <c r="AK9" s="5" t="s">
        <v>44</v>
      </c>
      <c r="AL9" s="5" t="s">
        <v>120</v>
      </c>
      <c r="AM9" s="5">
        <v>2</v>
      </c>
    </row>
    <row r="10" spans="1:39" ht="105.6" x14ac:dyDescent="0.25">
      <c r="A10" s="3">
        <v>45919.593104143518</v>
      </c>
      <c r="B10" s="4">
        <v>45919</v>
      </c>
      <c r="C10" s="5" t="s">
        <v>65</v>
      </c>
      <c r="D10" s="5" t="s">
        <v>38</v>
      </c>
      <c r="E10" s="5" t="s">
        <v>87</v>
      </c>
      <c r="F10" s="5" t="s">
        <v>96</v>
      </c>
      <c r="G10" s="5" t="s">
        <v>142</v>
      </c>
      <c r="H10" s="5" t="s">
        <v>57</v>
      </c>
      <c r="I10" s="5" t="s">
        <v>43</v>
      </c>
      <c r="J10" s="5" t="s">
        <v>44</v>
      </c>
      <c r="K10" s="5" t="s">
        <v>121</v>
      </c>
      <c r="L10" s="5" t="s">
        <v>46</v>
      </c>
      <c r="M10" s="5"/>
      <c r="N10" s="5" t="s">
        <v>44</v>
      </c>
      <c r="O10" s="5" t="s">
        <v>79</v>
      </c>
      <c r="P10" s="5" t="s">
        <v>44</v>
      </c>
      <c r="Q10" s="5" t="s">
        <v>122</v>
      </c>
      <c r="R10" s="5" t="s">
        <v>99</v>
      </c>
      <c r="S10" s="5" t="s">
        <v>46</v>
      </c>
      <c r="T10" s="5"/>
      <c r="U10" s="5" t="s">
        <v>46</v>
      </c>
      <c r="V10" s="5"/>
      <c r="W10" s="5" t="s">
        <v>46</v>
      </c>
      <c r="X10" s="5"/>
      <c r="Y10" s="5" t="s">
        <v>46</v>
      </c>
      <c r="Z10" s="5"/>
      <c r="AA10" s="5" t="s">
        <v>49</v>
      </c>
      <c r="AB10" s="6" t="s">
        <v>50</v>
      </c>
      <c r="AC10" s="6" t="s">
        <v>50</v>
      </c>
      <c r="AD10" s="5" t="s">
        <v>46</v>
      </c>
      <c r="AE10" s="5"/>
      <c r="AF10" s="5" t="s">
        <v>44</v>
      </c>
      <c r="AG10" s="5" t="s">
        <v>123</v>
      </c>
      <c r="AH10" s="5" t="s">
        <v>124</v>
      </c>
      <c r="AI10" s="5" t="s">
        <v>125</v>
      </c>
      <c r="AJ10" s="5" t="s">
        <v>126</v>
      </c>
      <c r="AK10" s="5" t="s">
        <v>44</v>
      </c>
      <c r="AL10" s="5" t="s">
        <v>127</v>
      </c>
      <c r="AM10" s="5">
        <v>2</v>
      </c>
    </row>
    <row r="11" spans="1:39" ht="39.6" x14ac:dyDescent="0.25">
      <c r="A11" s="3">
        <v>45919.692379583328</v>
      </c>
      <c r="B11" s="4">
        <v>45919</v>
      </c>
      <c r="C11" s="5" t="s">
        <v>65</v>
      </c>
      <c r="D11" s="5" t="s">
        <v>128</v>
      </c>
      <c r="E11" s="5" t="s">
        <v>129</v>
      </c>
      <c r="F11" s="5" t="s">
        <v>56</v>
      </c>
      <c r="G11" s="5" t="s">
        <v>41</v>
      </c>
      <c r="H11" s="5" t="s">
        <v>130</v>
      </c>
      <c r="I11" s="5" t="s">
        <v>58</v>
      </c>
      <c r="J11" s="5" t="s">
        <v>44</v>
      </c>
      <c r="K11" s="5" t="s">
        <v>131</v>
      </c>
      <c r="L11" s="5" t="s">
        <v>46</v>
      </c>
      <c r="M11" s="5"/>
      <c r="N11" s="5" t="s">
        <v>44</v>
      </c>
      <c r="O11" s="5" t="s">
        <v>79</v>
      </c>
      <c r="P11" s="5" t="s">
        <v>44</v>
      </c>
      <c r="Q11" s="5" t="s">
        <v>132</v>
      </c>
      <c r="R11" s="5" t="s">
        <v>61</v>
      </c>
      <c r="S11" s="5" t="s">
        <v>46</v>
      </c>
      <c r="T11" s="5"/>
      <c r="U11" s="5" t="s">
        <v>46</v>
      </c>
      <c r="V11" s="5"/>
      <c r="W11" s="5" t="s">
        <v>44</v>
      </c>
      <c r="X11" s="5" t="s">
        <v>133</v>
      </c>
      <c r="Y11" s="5" t="s">
        <v>44</v>
      </c>
      <c r="Z11" s="5" t="s">
        <v>134</v>
      </c>
      <c r="AA11" s="5" t="s">
        <v>50</v>
      </c>
      <c r="AB11" s="6" t="s">
        <v>50</v>
      </c>
      <c r="AC11" s="6" t="s">
        <v>50</v>
      </c>
      <c r="AD11" s="5" t="s">
        <v>44</v>
      </c>
      <c r="AE11" s="5" t="s">
        <v>135</v>
      </c>
      <c r="AF11" s="5" t="s">
        <v>44</v>
      </c>
      <c r="AG11" s="5" t="s">
        <v>51</v>
      </c>
      <c r="AH11" s="5" t="s">
        <v>136</v>
      </c>
      <c r="AI11" s="5" t="s">
        <v>137</v>
      </c>
      <c r="AJ11" s="5" t="s">
        <v>138</v>
      </c>
      <c r="AK11" s="5" t="s">
        <v>44</v>
      </c>
      <c r="AL11" s="5" t="s">
        <v>139</v>
      </c>
      <c r="AM11" s="5">
        <v>3</v>
      </c>
    </row>
    <row r="12" spans="1:39" ht="39.6" x14ac:dyDescent="0.25">
      <c r="A12" s="3">
        <v>45919.85248700231</v>
      </c>
      <c r="B12" s="4">
        <v>45919</v>
      </c>
      <c r="C12" s="5" t="s">
        <v>76</v>
      </c>
      <c r="D12" s="5" t="s">
        <v>38</v>
      </c>
      <c r="E12" s="5" t="s">
        <v>87</v>
      </c>
      <c r="F12" s="5" t="s">
        <v>56</v>
      </c>
      <c r="G12" s="5" t="s">
        <v>41</v>
      </c>
      <c r="H12" s="5" t="s">
        <v>42</v>
      </c>
      <c r="I12" s="5" t="s">
        <v>58</v>
      </c>
      <c r="J12" s="5" t="s">
        <v>46</v>
      </c>
      <c r="K12" s="5"/>
      <c r="L12" s="5" t="s">
        <v>46</v>
      </c>
      <c r="M12" s="5"/>
      <c r="N12" s="5" t="s">
        <v>44</v>
      </c>
      <c r="O12" s="5" t="s">
        <v>47</v>
      </c>
      <c r="P12" s="5" t="s">
        <v>46</v>
      </c>
      <c r="Q12" s="5"/>
      <c r="R12" s="5" t="s">
        <v>61</v>
      </c>
      <c r="S12" s="5" t="s">
        <v>46</v>
      </c>
      <c r="T12" s="5"/>
      <c r="U12" s="5" t="s">
        <v>46</v>
      </c>
      <c r="V12" s="5"/>
      <c r="W12" s="5" t="s">
        <v>46</v>
      </c>
      <c r="X12" s="5"/>
      <c r="Y12" s="5" t="s">
        <v>46</v>
      </c>
      <c r="Z12" s="5"/>
      <c r="AA12" s="5" t="s">
        <v>49</v>
      </c>
      <c r="AB12" s="6" t="s">
        <v>50</v>
      </c>
      <c r="AC12" s="6" t="s">
        <v>50</v>
      </c>
      <c r="AD12" s="5" t="s">
        <v>46</v>
      </c>
      <c r="AE12" s="5"/>
      <c r="AF12" s="5" t="s">
        <v>46</v>
      </c>
      <c r="AG12" s="5"/>
      <c r="AH12" s="5" t="s">
        <v>140</v>
      </c>
      <c r="AI12" s="5" t="s">
        <v>53</v>
      </c>
      <c r="AJ12" s="5" t="s">
        <v>141</v>
      </c>
      <c r="AK12" s="5" t="s">
        <v>46</v>
      </c>
      <c r="AL12" s="5"/>
      <c r="AM12" s="5">
        <v>3</v>
      </c>
    </row>
    <row r="13" spans="1:39" ht="39.6" x14ac:dyDescent="0.25">
      <c r="A13" s="3">
        <v>45920.822529780096</v>
      </c>
      <c r="B13" s="4">
        <v>45920</v>
      </c>
      <c r="C13" s="5" t="s">
        <v>65</v>
      </c>
      <c r="D13" s="5" t="s">
        <v>38</v>
      </c>
      <c r="E13" s="5" t="s">
        <v>107</v>
      </c>
      <c r="F13" s="5" t="s">
        <v>96</v>
      </c>
      <c r="G13" s="5" t="s">
        <v>142</v>
      </c>
      <c r="H13" s="5" t="s">
        <v>57</v>
      </c>
      <c r="I13" s="5" t="s">
        <v>58</v>
      </c>
      <c r="J13" s="5" t="s">
        <v>44</v>
      </c>
      <c r="K13" s="5" t="s">
        <v>143</v>
      </c>
      <c r="L13" s="5" t="s">
        <v>46</v>
      </c>
      <c r="M13" s="5"/>
      <c r="N13" s="5" t="s">
        <v>46</v>
      </c>
      <c r="O13" s="5" t="s">
        <v>79</v>
      </c>
      <c r="P13" s="5" t="s">
        <v>46</v>
      </c>
      <c r="Q13" s="5"/>
      <c r="R13" s="5" t="s">
        <v>99</v>
      </c>
      <c r="S13" s="5" t="s">
        <v>46</v>
      </c>
      <c r="T13" s="5"/>
      <c r="U13" s="5" t="s">
        <v>46</v>
      </c>
      <c r="V13" s="5"/>
      <c r="W13" s="5" t="s">
        <v>46</v>
      </c>
      <c r="X13" s="5"/>
      <c r="Y13" s="5" t="s">
        <v>46</v>
      </c>
      <c r="Z13" s="5"/>
      <c r="AA13" s="5" t="s">
        <v>50</v>
      </c>
      <c r="AB13" s="6" t="s">
        <v>50</v>
      </c>
      <c r="AC13" s="6" t="s">
        <v>49</v>
      </c>
      <c r="AD13" s="5" t="s">
        <v>46</v>
      </c>
      <c r="AE13" s="5"/>
      <c r="AF13" s="5" t="s">
        <v>46</v>
      </c>
      <c r="AG13" s="5"/>
      <c r="AH13" s="5" t="s">
        <v>144</v>
      </c>
      <c r="AI13" s="5" t="s">
        <v>145</v>
      </c>
      <c r="AJ13" s="5" t="s">
        <v>146</v>
      </c>
      <c r="AK13" s="5" t="s">
        <v>46</v>
      </c>
      <c r="AL13" s="5"/>
      <c r="AM13" s="5">
        <v>3</v>
      </c>
    </row>
    <row r="14" spans="1:39" ht="39.6" x14ac:dyDescent="0.25">
      <c r="A14" s="3">
        <v>45920.85850775463</v>
      </c>
      <c r="B14" s="4">
        <v>45920</v>
      </c>
      <c r="C14" s="5" t="s">
        <v>65</v>
      </c>
      <c r="D14" s="5" t="s">
        <v>38</v>
      </c>
      <c r="E14" s="5" t="s">
        <v>87</v>
      </c>
      <c r="F14" s="5" t="s">
        <v>40</v>
      </c>
      <c r="G14" s="5" t="s">
        <v>142</v>
      </c>
      <c r="H14" s="5" t="s">
        <v>57</v>
      </c>
      <c r="I14" s="5" t="s">
        <v>58</v>
      </c>
      <c r="J14" s="5" t="s">
        <v>44</v>
      </c>
      <c r="K14" s="5" t="s">
        <v>147</v>
      </c>
      <c r="L14" s="5" t="s">
        <v>46</v>
      </c>
      <c r="M14" s="5"/>
      <c r="N14" s="5" t="s">
        <v>46</v>
      </c>
      <c r="O14" s="5" t="s">
        <v>79</v>
      </c>
      <c r="P14" s="5" t="s">
        <v>46</v>
      </c>
      <c r="Q14" s="5"/>
      <c r="R14" s="5" t="s">
        <v>61</v>
      </c>
      <c r="S14" s="5" t="s">
        <v>46</v>
      </c>
      <c r="T14" s="5"/>
      <c r="U14" s="5" t="s">
        <v>46</v>
      </c>
      <c r="V14" s="5"/>
      <c r="W14" s="5" t="s">
        <v>46</v>
      </c>
      <c r="X14" s="5"/>
      <c r="Y14" s="5" t="s">
        <v>44</v>
      </c>
      <c r="Z14" s="5" t="s">
        <v>148</v>
      </c>
      <c r="AA14" s="5" t="s">
        <v>49</v>
      </c>
      <c r="AB14" s="6" t="s">
        <v>50</v>
      </c>
      <c r="AC14" s="6" t="s">
        <v>50</v>
      </c>
      <c r="AD14" s="5" t="s">
        <v>46</v>
      </c>
      <c r="AE14" s="5"/>
      <c r="AF14" s="5" t="s">
        <v>44</v>
      </c>
      <c r="AG14" s="5" t="s">
        <v>149</v>
      </c>
      <c r="AH14" s="5" t="s">
        <v>150</v>
      </c>
      <c r="AI14" s="5" t="s">
        <v>53</v>
      </c>
      <c r="AJ14" s="5" t="s">
        <v>151</v>
      </c>
      <c r="AK14" s="5" t="s">
        <v>44</v>
      </c>
      <c r="AL14" s="5" t="s">
        <v>152</v>
      </c>
      <c r="AM14" s="5">
        <v>2</v>
      </c>
    </row>
    <row r="15" spans="1:39" ht="39.6" x14ac:dyDescent="0.25">
      <c r="A15" s="3">
        <v>45921.73217293981</v>
      </c>
      <c r="B15" s="4">
        <v>45921</v>
      </c>
      <c r="C15" s="5" t="s">
        <v>153</v>
      </c>
      <c r="D15" s="5" t="s">
        <v>38</v>
      </c>
      <c r="E15" s="5" t="s">
        <v>55</v>
      </c>
      <c r="F15" s="5" t="s">
        <v>77</v>
      </c>
      <c r="G15" s="5" t="s">
        <v>142</v>
      </c>
      <c r="H15" s="5" t="s">
        <v>130</v>
      </c>
      <c r="I15" s="5" t="s">
        <v>43</v>
      </c>
      <c r="J15" s="5" t="s">
        <v>44</v>
      </c>
      <c r="K15" s="5" t="s">
        <v>154</v>
      </c>
      <c r="L15" s="5" t="s">
        <v>46</v>
      </c>
      <c r="M15" s="5"/>
      <c r="N15" s="5" t="s">
        <v>46</v>
      </c>
      <c r="O15" s="5" t="s">
        <v>155</v>
      </c>
      <c r="P15" s="5" t="s">
        <v>44</v>
      </c>
      <c r="Q15" s="5" t="s">
        <v>156</v>
      </c>
      <c r="R15" s="5" t="s">
        <v>61</v>
      </c>
      <c r="S15" s="5" t="s">
        <v>46</v>
      </c>
      <c r="T15" s="5"/>
      <c r="U15" s="5" t="s">
        <v>46</v>
      </c>
      <c r="V15" s="5"/>
      <c r="W15" s="5" t="s">
        <v>46</v>
      </c>
      <c r="X15" s="5"/>
      <c r="Y15" s="5" t="s">
        <v>46</v>
      </c>
      <c r="Z15" s="5"/>
      <c r="AA15" s="5" t="s">
        <v>50</v>
      </c>
      <c r="AB15" s="6" t="s">
        <v>49</v>
      </c>
      <c r="AC15" s="6" t="s">
        <v>50</v>
      </c>
      <c r="AD15" s="5" t="s">
        <v>44</v>
      </c>
      <c r="AE15" s="5" t="s">
        <v>111</v>
      </c>
      <c r="AF15" s="5" t="s">
        <v>44</v>
      </c>
      <c r="AG15" s="5" t="s">
        <v>111</v>
      </c>
      <c r="AH15" s="5" t="s">
        <v>157</v>
      </c>
      <c r="AI15" s="5" t="s">
        <v>158</v>
      </c>
      <c r="AJ15" s="5" t="s">
        <v>159</v>
      </c>
      <c r="AK15" s="5" t="s">
        <v>44</v>
      </c>
      <c r="AL15" s="5" t="s">
        <v>160</v>
      </c>
      <c r="AM15" s="5">
        <v>1</v>
      </c>
    </row>
    <row r="16" spans="1:39" ht="39.6" x14ac:dyDescent="0.25">
      <c r="A16" s="3">
        <v>45921.736852476854</v>
      </c>
      <c r="B16" s="4">
        <v>45921</v>
      </c>
      <c r="C16" s="5" t="s">
        <v>153</v>
      </c>
      <c r="D16" s="5" t="s">
        <v>38</v>
      </c>
      <c r="E16" s="5" t="s">
        <v>161</v>
      </c>
      <c r="F16" s="5" t="s">
        <v>96</v>
      </c>
      <c r="G16" s="5" t="s">
        <v>41</v>
      </c>
      <c r="H16" s="5" t="s">
        <v>42</v>
      </c>
      <c r="I16" s="5" t="s">
        <v>58</v>
      </c>
      <c r="J16" s="5" t="s">
        <v>46</v>
      </c>
      <c r="K16" s="5"/>
      <c r="L16" s="5" t="s">
        <v>46</v>
      </c>
      <c r="M16" s="5"/>
      <c r="N16" s="5" t="s">
        <v>46</v>
      </c>
      <c r="O16" s="5" t="s">
        <v>69</v>
      </c>
      <c r="P16" s="5" t="s">
        <v>46</v>
      </c>
      <c r="Q16" s="5"/>
      <c r="R16" s="5" t="s">
        <v>99</v>
      </c>
      <c r="S16" s="5" t="s">
        <v>46</v>
      </c>
      <c r="T16" s="5"/>
      <c r="U16" s="5" t="s">
        <v>46</v>
      </c>
      <c r="V16" s="5"/>
      <c r="W16" s="5" t="s">
        <v>46</v>
      </c>
      <c r="X16" s="5"/>
      <c r="Y16" s="5" t="s">
        <v>46</v>
      </c>
      <c r="Z16" s="5"/>
      <c r="AA16" s="5" t="s">
        <v>49</v>
      </c>
      <c r="AB16" s="6" t="s">
        <v>50</v>
      </c>
      <c r="AC16" s="6" t="s">
        <v>50</v>
      </c>
      <c r="AD16" s="5" t="s">
        <v>46</v>
      </c>
      <c r="AE16" s="5"/>
      <c r="AF16" s="5" t="s">
        <v>44</v>
      </c>
      <c r="AG16" s="5" t="s">
        <v>162</v>
      </c>
      <c r="AH16" s="5" t="s">
        <v>53</v>
      </c>
      <c r="AI16" s="5" t="s">
        <v>163</v>
      </c>
      <c r="AJ16" s="5" t="s">
        <v>164</v>
      </c>
      <c r="AK16" s="5" t="s">
        <v>46</v>
      </c>
      <c r="AL16" s="5"/>
      <c r="AM16" s="5">
        <v>1</v>
      </c>
    </row>
    <row r="17" spans="1:39" ht="39.6" x14ac:dyDescent="0.25">
      <c r="A17" s="3">
        <v>45921.741542488424</v>
      </c>
      <c r="B17" s="4">
        <v>45921</v>
      </c>
      <c r="C17" s="5" t="s">
        <v>153</v>
      </c>
      <c r="D17" s="5" t="s">
        <v>38</v>
      </c>
      <c r="E17" s="5" t="s">
        <v>161</v>
      </c>
      <c r="F17" s="5" t="s">
        <v>77</v>
      </c>
      <c r="G17" s="5" t="s">
        <v>41</v>
      </c>
      <c r="H17" s="5" t="s">
        <v>130</v>
      </c>
      <c r="I17" s="5" t="s">
        <v>43</v>
      </c>
      <c r="J17" s="5" t="s">
        <v>44</v>
      </c>
      <c r="K17" s="5" t="s">
        <v>165</v>
      </c>
      <c r="L17" s="5" t="s">
        <v>46</v>
      </c>
      <c r="M17" s="5"/>
      <c r="N17" s="5" t="s">
        <v>44</v>
      </c>
      <c r="O17" s="5" t="s">
        <v>79</v>
      </c>
      <c r="P17" s="5" t="s">
        <v>44</v>
      </c>
      <c r="Q17" s="5" t="s">
        <v>166</v>
      </c>
      <c r="R17" s="5" t="s">
        <v>61</v>
      </c>
      <c r="S17" s="5" t="s">
        <v>46</v>
      </c>
      <c r="T17" s="5"/>
      <c r="U17" s="5" t="s">
        <v>46</v>
      </c>
      <c r="V17" s="5"/>
      <c r="W17" s="5" t="s">
        <v>46</v>
      </c>
      <c r="X17" s="5"/>
      <c r="Y17" s="5" t="s">
        <v>46</v>
      </c>
      <c r="Z17" s="5"/>
      <c r="AA17" s="5" t="s">
        <v>50</v>
      </c>
      <c r="AB17" s="6" t="s">
        <v>50</v>
      </c>
      <c r="AC17" s="6" t="s">
        <v>50</v>
      </c>
      <c r="AD17" s="5" t="s">
        <v>46</v>
      </c>
      <c r="AE17" s="5"/>
      <c r="AF17" s="5" t="s">
        <v>44</v>
      </c>
      <c r="AG17" s="5" t="s">
        <v>111</v>
      </c>
      <c r="AH17" s="5" t="s">
        <v>167</v>
      </c>
      <c r="AI17" s="5" t="s">
        <v>163</v>
      </c>
      <c r="AJ17" s="5" t="s">
        <v>168</v>
      </c>
      <c r="AK17" s="5" t="s">
        <v>46</v>
      </c>
      <c r="AL17" s="5"/>
      <c r="AM17" s="5">
        <v>1</v>
      </c>
    </row>
    <row r="18" spans="1:39" ht="39.6" x14ac:dyDescent="0.25">
      <c r="A18" s="3">
        <v>45921.746784236107</v>
      </c>
      <c r="B18" s="4">
        <v>45921</v>
      </c>
      <c r="C18" s="5" t="s">
        <v>153</v>
      </c>
      <c r="D18" s="5" t="s">
        <v>38</v>
      </c>
      <c r="E18" s="5" t="s">
        <v>161</v>
      </c>
      <c r="F18" s="5" t="s">
        <v>77</v>
      </c>
      <c r="G18" s="5" t="s">
        <v>41</v>
      </c>
      <c r="H18" s="5" t="s">
        <v>57</v>
      </c>
      <c r="I18" s="5" t="s">
        <v>43</v>
      </c>
      <c r="J18" s="5" t="s">
        <v>44</v>
      </c>
      <c r="K18" s="5" t="s">
        <v>169</v>
      </c>
      <c r="L18" s="5" t="s">
        <v>44</v>
      </c>
      <c r="M18" s="5" t="s">
        <v>170</v>
      </c>
      <c r="N18" s="5" t="s">
        <v>46</v>
      </c>
      <c r="O18" s="5" t="s">
        <v>69</v>
      </c>
      <c r="P18" s="5" t="s">
        <v>46</v>
      </c>
      <c r="Q18" s="5"/>
      <c r="R18" s="5" t="s">
        <v>82</v>
      </c>
      <c r="S18" s="5" t="s">
        <v>46</v>
      </c>
      <c r="T18" s="5"/>
      <c r="U18" s="5" t="s">
        <v>46</v>
      </c>
      <c r="V18" s="5"/>
      <c r="W18" s="5" t="s">
        <v>46</v>
      </c>
      <c r="X18" s="5"/>
      <c r="Y18" s="5" t="s">
        <v>46</v>
      </c>
      <c r="Z18" s="5"/>
      <c r="AA18" s="5" t="s">
        <v>49</v>
      </c>
      <c r="AB18" s="6" t="s">
        <v>50</v>
      </c>
      <c r="AC18" s="6" t="s">
        <v>50</v>
      </c>
      <c r="AD18" s="5" t="s">
        <v>46</v>
      </c>
      <c r="AE18" s="5"/>
      <c r="AF18" s="5" t="s">
        <v>46</v>
      </c>
      <c r="AG18" s="5"/>
      <c r="AH18" s="5" t="s">
        <v>163</v>
      </c>
      <c r="AI18" s="5" t="s">
        <v>163</v>
      </c>
      <c r="AJ18" s="5" t="s">
        <v>141</v>
      </c>
      <c r="AK18" s="5" t="s">
        <v>46</v>
      </c>
      <c r="AL18" s="5"/>
      <c r="AM18" s="5">
        <v>2</v>
      </c>
    </row>
    <row r="19" spans="1:39" ht="39.6" x14ac:dyDescent="0.25">
      <c r="A19" s="3">
        <v>45921.752005196759</v>
      </c>
      <c r="B19" s="4">
        <v>45921</v>
      </c>
      <c r="C19" s="5" t="s">
        <v>86</v>
      </c>
      <c r="D19" s="5" t="s">
        <v>38</v>
      </c>
      <c r="E19" s="5" t="s">
        <v>161</v>
      </c>
      <c r="F19" s="5" t="s">
        <v>96</v>
      </c>
      <c r="G19" s="5" t="s">
        <v>41</v>
      </c>
      <c r="H19" s="5" t="s">
        <v>42</v>
      </c>
      <c r="I19" s="5" t="s">
        <v>43</v>
      </c>
      <c r="J19" s="5" t="s">
        <v>44</v>
      </c>
      <c r="K19" s="5" t="s">
        <v>171</v>
      </c>
      <c r="L19" s="5" t="s">
        <v>46</v>
      </c>
      <c r="M19" s="5"/>
      <c r="N19" s="5" t="s">
        <v>46</v>
      </c>
      <c r="O19" s="5" t="s">
        <v>69</v>
      </c>
      <c r="P19" s="5" t="s">
        <v>46</v>
      </c>
      <c r="Q19" s="5"/>
      <c r="R19" s="5" t="s">
        <v>99</v>
      </c>
      <c r="S19" s="5" t="s">
        <v>46</v>
      </c>
      <c r="T19" s="5"/>
      <c r="U19" s="5" t="s">
        <v>46</v>
      </c>
      <c r="V19" s="5"/>
      <c r="W19" s="5" t="s">
        <v>46</v>
      </c>
      <c r="X19" s="5"/>
      <c r="Y19" s="5" t="s">
        <v>46</v>
      </c>
      <c r="Z19" s="5"/>
      <c r="AA19" s="5" t="s">
        <v>49</v>
      </c>
      <c r="AB19" s="6" t="s">
        <v>50</v>
      </c>
      <c r="AC19" s="6" t="s">
        <v>50</v>
      </c>
      <c r="AD19" s="5" t="s">
        <v>46</v>
      </c>
      <c r="AE19" s="5"/>
      <c r="AF19" s="5" t="s">
        <v>44</v>
      </c>
      <c r="AG19" s="5" t="s">
        <v>172</v>
      </c>
      <c r="AH19" s="5" t="s">
        <v>163</v>
      </c>
      <c r="AI19" s="5" t="s">
        <v>53</v>
      </c>
      <c r="AJ19" s="5" t="s">
        <v>173</v>
      </c>
      <c r="AK19" s="5" t="s">
        <v>46</v>
      </c>
      <c r="AL19" s="5"/>
      <c r="AM19" s="5">
        <v>3</v>
      </c>
    </row>
    <row r="20" spans="1:39" ht="66" x14ac:dyDescent="0.25">
      <c r="A20" s="3">
        <v>45921.788279988425</v>
      </c>
      <c r="B20" s="4">
        <v>45921</v>
      </c>
      <c r="C20" s="5" t="s">
        <v>153</v>
      </c>
      <c r="D20" s="5" t="s">
        <v>38</v>
      </c>
      <c r="E20" s="5" t="s">
        <v>107</v>
      </c>
      <c r="F20" s="5" t="s">
        <v>96</v>
      </c>
      <c r="G20" s="5" t="s">
        <v>142</v>
      </c>
      <c r="H20" s="5" t="s">
        <v>174</v>
      </c>
      <c r="I20" s="5" t="s">
        <v>43</v>
      </c>
      <c r="J20" s="5" t="s">
        <v>44</v>
      </c>
      <c r="K20" s="5" t="s">
        <v>175</v>
      </c>
      <c r="L20" s="5" t="s">
        <v>44</v>
      </c>
      <c r="M20" s="5" t="s">
        <v>176</v>
      </c>
      <c r="N20" s="5" t="s">
        <v>46</v>
      </c>
      <c r="O20" s="5" t="s">
        <v>69</v>
      </c>
      <c r="P20" s="5" t="s">
        <v>44</v>
      </c>
      <c r="Q20" s="5" t="s">
        <v>177</v>
      </c>
      <c r="R20" s="5" t="s">
        <v>61</v>
      </c>
      <c r="S20" s="5" t="s">
        <v>44</v>
      </c>
      <c r="T20" s="5" t="s">
        <v>178</v>
      </c>
      <c r="U20" s="5" t="s">
        <v>179</v>
      </c>
      <c r="V20" s="5" t="s">
        <v>287</v>
      </c>
      <c r="W20" s="5" t="s">
        <v>46</v>
      </c>
      <c r="X20" s="5"/>
      <c r="Y20" s="5" t="s">
        <v>44</v>
      </c>
      <c r="Z20" s="5" t="s">
        <v>180</v>
      </c>
      <c r="AA20" s="5" t="s">
        <v>49</v>
      </c>
      <c r="AB20" s="6" t="s">
        <v>50</v>
      </c>
      <c r="AC20" s="6" t="s">
        <v>50</v>
      </c>
      <c r="AD20" s="5" t="s">
        <v>46</v>
      </c>
      <c r="AE20" s="5"/>
      <c r="AF20" s="5" t="s">
        <v>44</v>
      </c>
      <c r="AG20" s="5" t="s">
        <v>181</v>
      </c>
      <c r="AH20" s="5" t="s">
        <v>182</v>
      </c>
      <c r="AI20" s="5" t="s">
        <v>53</v>
      </c>
      <c r="AJ20" s="5" t="s">
        <v>183</v>
      </c>
      <c r="AK20" s="5" t="s">
        <v>44</v>
      </c>
      <c r="AL20" s="5" t="s">
        <v>184</v>
      </c>
      <c r="AM20" s="5">
        <v>2</v>
      </c>
    </row>
    <row r="21" spans="1:39" ht="79.2" x14ac:dyDescent="0.25">
      <c r="A21" s="3">
        <v>45922.412308483792</v>
      </c>
      <c r="B21" s="4">
        <v>45922</v>
      </c>
      <c r="C21" s="5" t="s">
        <v>65</v>
      </c>
      <c r="D21" s="5" t="s">
        <v>38</v>
      </c>
      <c r="E21" s="5" t="s">
        <v>39</v>
      </c>
      <c r="F21" s="5" t="s">
        <v>40</v>
      </c>
      <c r="G21" s="5" t="s">
        <v>41</v>
      </c>
      <c r="H21" s="5" t="s">
        <v>57</v>
      </c>
      <c r="I21" s="5" t="s">
        <v>58</v>
      </c>
      <c r="J21" s="5" t="s">
        <v>44</v>
      </c>
      <c r="K21" s="5" t="s">
        <v>185</v>
      </c>
      <c r="L21" s="5" t="s">
        <v>46</v>
      </c>
      <c r="M21" s="5"/>
      <c r="N21" s="5" t="s">
        <v>46</v>
      </c>
      <c r="O21" s="5" t="s">
        <v>69</v>
      </c>
      <c r="P21" s="5" t="s">
        <v>44</v>
      </c>
      <c r="Q21" s="5" t="s">
        <v>186</v>
      </c>
      <c r="R21" s="5" t="s">
        <v>61</v>
      </c>
      <c r="S21" s="5" t="s">
        <v>46</v>
      </c>
      <c r="T21" s="5"/>
      <c r="U21" s="5" t="s">
        <v>46</v>
      </c>
      <c r="V21" s="5"/>
      <c r="W21" s="5" t="s">
        <v>46</v>
      </c>
      <c r="X21" s="5"/>
      <c r="Y21" s="5" t="s">
        <v>44</v>
      </c>
      <c r="Z21" s="5" t="s">
        <v>187</v>
      </c>
      <c r="AA21" s="5" t="s">
        <v>49</v>
      </c>
      <c r="AB21" s="6" t="s">
        <v>50</v>
      </c>
      <c r="AC21" s="6" t="s">
        <v>50</v>
      </c>
      <c r="AD21" s="5" t="s">
        <v>46</v>
      </c>
      <c r="AE21" s="5"/>
      <c r="AF21" s="5" t="s">
        <v>44</v>
      </c>
      <c r="AG21" s="5" t="s">
        <v>188</v>
      </c>
      <c r="AH21" s="5" t="s">
        <v>189</v>
      </c>
      <c r="AI21" s="5" t="s">
        <v>190</v>
      </c>
      <c r="AJ21" s="5" t="s">
        <v>141</v>
      </c>
      <c r="AK21" s="5" t="s">
        <v>46</v>
      </c>
      <c r="AL21" s="5"/>
      <c r="AM21" s="5">
        <v>2</v>
      </c>
    </row>
    <row r="22" spans="1:39" ht="39.6" x14ac:dyDescent="0.25">
      <c r="A22" s="3">
        <v>45922.413387685185</v>
      </c>
      <c r="B22" s="4">
        <v>45922</v>
      </c>
      <c r="C22" s="5" t="s">
        <v>65</v>
      </c>
      <c r="D22" s="5" t="s">
        <v>38</v>
      </c>
      <c r="E22" s="5" t="s">
        <v>129</v>
      </c>
      <c r="F22" s="5" t="s">
        <v>96</v>
      </c>
      <c r="G22" s="5" t="s">
        <v>41</v>
      </c>
      <c r="H22" s="5" t="s">
        <v>130</v>
      </c>
      <c r="I22" s="5" t="s">
        <v>58</v>
      </c>
      <c r="J22" s="5" t="s">
        <v>46</v>
      </c>
      <c r="K22" s="5"/>
      <c r="L22" s="5" t="s">
        <v>46</v>
      </c>
      <c r="M22" s="5"/>
      <c r="N22" s="5" t="s">
        <v>46</v>
      </c>
      <c r="O22" s="5" t="s">
        <v>69</v>
      </c>
      <c r="P22" s="5" t="s">
        <v>46</v>
      </c>
      <c r="Q22" s="5"/>
      <c r="R22" s="5" t="s">
        <v>61</v>
      </c>
      <c r="S22" s="5" t="s">
        <v>46</v>
      </c>
      <c r="T22" s="5"/>
      <c r="U22" s="5" t="s">
        <v>46</v>
      </c>
      <c r="V22" s="5"/>
      <c r="W22" s="5" t="s">
        <v>46</v>
      </c>
      <c r="X22" s="5"/>
      <c r="Y22" s="5" t="s">
        <v>46</v>
      </c>
      <c r="Z22" s="5"/>
      <c r="AA22" s="5" t="s">
        <v>71</v>
      </c>
      <c r="AB22" s="6" t="s">
        <v>71</v>
      </c>
      <c r="AC22" s="6" t="s">
        <v>71</v>
      </c>
      <c r="AD22" s="5" t="s">
        <v>46</v>
      </c>
      <c r="AE22" s="5"/>
      <c r="AF22" s="5" t="s">
        <v>46</v>
      </c>
      <c r="AG22" s="5"/>
      <c r="AH22" s="5" t="s">
        <v>191</v>
      </c>
      <c r="AI22" s="5" t="s">
        <v>192</v>
      </c>
      <c r="AJ22" s="5" t="s">
        <v>193</v>
      </c>
      <c r="AK22" s="5" t="s">
        <v>46</v>
      </c>
      <c r="AL22" s="5"/>
      <c r="AM22" s="5">
        <v>3</v>
      </c>
    </row>
    <row r="23" spans="1:39" ht="39.6" x14ac:dyDescent="0.25">
      <c r="A23" s="3">
        <v>45922.414987847224</v>
      </c>
      <c r="B23" s="4">
        <v>45922</v>
      </c>
      <c r="C23" s="5" t="s">
        <v>65</v>
      </c>
      <c r="D23" s="5" t="s">
        <v>38</v>
      </c>
      <c r="E23" s="5" t="s">
        <v>39</v>
      </c>
      <c r="F23" s="5" t="s">
        <v>56</v>
      </c>
      <c r="G23" s="5" t="s">
        <v>41</v>
      </c>
      <c r="H23" s="5" t="s">
        <v>57</v>
      </c>
      <c r="I23" s="5" t="s">
        <v>58</v>
      </c>
      <c r="J23" s="5" t="s">
        <v>44</v>
      </c>
      <c r="K23" s="5" t="s">
        <v>194</v>
      </c>
      <c r="L23" s="5" t="s">
        <v>46</v>
      </c>
      <c r="M23" s="5"/>
      <c r="N23" s="5" t="s">
        <v>46</v>
      </c>
      <c r="O23" s="5" t="s">
        <v>79</v>
      </c>
      <c r="P23" s="5" t="s">
        <v>44</v>
      </c>
      <c r="Q23" s="5" t="s">
        <v>195</v>
      </c>
      <c r="R23" s="5" t="s">
        <v>61</v>
      </c>
      <c r="S23" s="5" t="s">
        <v>46</v>
      </c>
      <c r="T23" s="5"/>
      <c r="U23" s="5" t="s">
        <v>46</v>
      </c>
      <c r="V23" s="5"/>
      <c r="W23" s="5" t="s">
        <v>46</v>
      </c>
      <c r="X23" s="5"/>
      <c r="Y23" s="5" t="s">
        <v>46</v>
      </c>
      <c r="Z23" s="5"/>
      <c r="AA23" s="5" t="s">
        <v>49</v>
      </c>
      <c r="AB23" s="6" t="s">
        <v>49</v>
      </c>
      <c r="AC23" s="6" t="s">
        <v>50</v>
      </c>
      <c r="AD23" s="5" t="s">
        <v>46</v>
      </c>
      <c r="AE23" s="5"/>
      <c r="AF23" s="5" t="s">
        <v>46</v>
      </c>
      <c r="AG23" s="5"/>
      <c r="AH23" s="5" t="s">
        <v>196</v>
      </c>
      <c r="AI23" s="5" t="s">
        <v>197</v>
      </c>
      <c r="AJ23" s="5" t="s">
        <v>198</v>
      </c>
      <c r="AK23" s="5" t="s">
        <v>46</v>
      </c>
      <c r="AL23" s="5"/>
      <c r="AM23" s="5">
        <v>2</v>
      </c>
    </row>
    <row r="24" spans="1:39" ht="105.6" x14ac:dyDescent="0.25">
      <c r="A24" s="3">
        <v>45922.415016863422</v>
      </c>
      <c r="B24" s="4">
        <v>45922</v>
      </c>
      <c r="C24" s="5" t="s">
        <v>65</v>
      </c>
      <c r="D24" s="5" t="s">
        <v>128</v>
      </c>
      <c r="E24" s="5" t="s">
        <v>87</v>
      </c>
      <c r="F24" s="5" t="s">
        <v>77</v>
      </c>
      <c r="G24" s="5" t="s">
        <v>41</v>
      </c>
      <c r="H24" s="5" t="s">
        <v>57</v>
      </c>
      <c r="I24" s="5" t="s">
        <v>43</v>
      </c>
      <c r="J24" s="5" t="s">
        <v>44</v>
      </c>
      <c r="K24" s="5" t="s">
        <v>199</v>
      </c>
      <c r="L24" s="5" t="s">
        <v>46</v>
      </c>
      <c r="M24" s="5"/>
      <c r="N24" s="5" t="s">
        <v>44</v>
      </c>
      <c r="O24" s="5" t="s">
        <v>47</v>
      </c>
      <c r="P24" s="5" t="s">
        <v>44</v>
      </c>
      <c r="Q24" s="5" t="s">
        <v>200</v>
      </c>
      <c r="R24" s="5" t="s">
        <v>48</v>
      </c>
      <c r="S24" s="5" t="s">
        <v>46</v>
      </c>
      <c r="T24" s="5"/>
      <c r="U24" s="5" t="s">
        <v>46</v>
      </c>
      <c r="V24" s="5"/>
      <c r="W24" s="5" t="s">
        <v>46</v>
      </c>
      <c r="X24" s="5"/>
      <c r="Y24" s="5" t="s">
        <v>46</v>
      </c>
      <c r="Z24" s="5"/>
      <c r="AA24" s="5" t="s">
        <v>50</v>
      </c>
      <c r="AB24" s="6" t="s">
        <v>50</v>
      </c>
      <c r="AC24" s="6" t="s">
        <v>50</v>
      </c>
      <c r="AD24" s="5" t="s">
        <v>44</v>
      </c>
      <c r="AE24" s="5" t="s">
        <v>111</v>
      </c>
      <c r="AF24" s="5" t="s">
        <v>44</v>
      </c>
      <c r="AG24" s="5" t="s">
        <v>201</v>
      </c>
      <c r="AH24" s="5" t="s">
        <v>202</v>
      </c>
      <c r="AI24" s="5" t="s">
        <v>203</v>
      </c>
      <c r="AJ24" s="5" t="s">
        <v>204</v>
      </c>
      <c r="AK24" s="5" t="s">
        <v>46</v>
      </c>
      <c r="AL24" s="5"/>
      <c r="AM24" s="5">
        <v>3</v>
      </c>
    </row>
    <row r="25" spans="1:39" ht="92.4" x14ac:dyDescent="0.25">
      <c r="A25" s="3">
        <v>45922.421718807869</v>
      </c>
      <c r="B25" s="4">
        <v>45922</v>
      </c>
      <c r="C25" s="5" t="s">
        <v>65</v>
      </c>
      <c r="D25" s="5" t="s">
        <v>38</v>
      </c>
      <c r="E25" s="5" t="s">
        <v>39</v>
      </c>
      <c r="F25" s="5" t="s">
        <v>40</v>
      </c>
      <c r="G25" s="5" t="s">
        <v>41</v>
      </c>
      <c r="H25" s="5" t="s">
        <v>57</v>
      </c>
      <c r="I25" s="5" t="s">
        <v>58</v>
      </c>
      <c r="J25" s="5" t="s">
        <v>44</v>
      </c>
      <c r="K25" s="5" t="s">
        <v>205</v>
      </c>
      <c r="L25" s="5" t="s">
        <v>44</v>
      </c>
      <c r="M25" s="5" t="s">
        <v>206</v>
      </c>
      <c r="N25" s="5" t="s">
        <v>44</v>
      </c>
      <c r="O25" s="5" t="s">
        <v>79</v>
      </c>
      <c r="P25" s="5" t="s">
        <v>46</v>
      </c>
      <c r="Q25" s="5"/>
      <c r="R25" s="5" t="s">
        <v>61</v>
      </c>
      <c r="S25" s="5" t="s">
        <v>46</v>
      </c>
      <c r="T25" s="5"/>
      <c r="U25" s="5" t="s">
        <v>46</v>
      </c>
      <c r="V25" s="5"/>
      <c r="W25" s="5" t="s">
        <v>46</v>
      </c>
      <c r="X25" s="5"/>
      <c r="Y25" s="5" t="s">
        <v>46</v>
      </c>
      <c r="Z25" s="5"/>
      <c r="AA25" s="5" t="s">
        <v>49</v>
      </c>
      <c r="AB25" s="6" t="s">
        <v>50</v>
      </c>
      <c r="AC25" s="6" t="s">
        <v>50</v>
      </c>
      <c r="AD25" s="5" t="s">
        <v>46</v>
      </c>
      <c r="AE25" s="5"/>
      <c r="AF25" s="5" t="s">
        <v>44</v>
      </c>
      <c r="AG25" s="5" t="s">
        <v>207</v>
      </c>
      <c r="AH25" s="5" t="s">
        <v>208</v>
      </c>
      <c r="AI25" s="5" t="s">
        <v>209</v>
      </c>
      <c r="AJ25" s="5" t="s">
        <v>126</v>
      </c>
      <c r="AK25" s="5" t="s">
        <v>46</v>
      </c>
      <c r="AL25" s="5"/>
      <c r="AM25" s="5">
        <v>3</v>
      </c>
    </row>
    <row r="26" spans="1:39" ht="39.6" x14ac:dyDescent="0.25">
      <c r="A26" s="3">
        <v>45922.439820706015</v>
      </c>
      <c r="B26" s="4">
        <v>45922</v>
      </c>
      <c r="C26" s="5" t="s">
        <v>65</v>
      </c>
      <c r="D26" s="5" t="s">
        <v>38</v>
      </c>
      <c r="E26" s="5" t="s">
        <v>107</v>
      </c>
      <c r="F26" s="5" t="s">
        <v>77</v>
      </c>
      <c r="G26" s="5" t="s">
        <v>142</v>
      </c>
      <c r="H26" s="5" t="s">
        <v>57</v>
      </c>
      <c r="I26" s="5" t="s">
        <v>43</v>
      </c>
      <c r="J26" s="5" t="s">
        <v>44</v>
      </c>
      <c r="K26" s="5" t="s">
        <v>210</v>
      </c>
      <c r="L26" s="5" t="s">
        <v>46</v>
      </c>
      <c r="M26" s="5"/>
      <c r="N26" s="5" t="s">
        <v>44</v>
      </c>
      <c r="O26" s="5" t="s">
        <v>47</v>
      </c>
      <c r="P26" s="5" t="s">
        <v>46</v>
      </c>
      <c r="Q26" s="5"/>
      <c r="R26" s="5" t="s">
        <v>99</v>
      </c>
      <c r="S26" s="5" t="s">
        <v>46</v>
      </c>
      <c r="T26" s="5"/>
      <c r="U26" s="5" t="s">
        <v>46</v>
      </c>
      <c r="V26" s="5"/>
      <c r="W26" s="5" t="s">
        <v>46</v>
      </c>
      <c r="X26" s="5"/>
      <c r="Y26" s="5" t="s">
        <v>46</v>
      </c>
      <c r="Z26" s="5"/>
      <c r="AA26" s="5" t="s">
        <v>50</v>
      </c>
      <c r="AB26" s="6" t="s">
        <v>71</v>
      </c>
      <c r="AC26" s="6" t="s">
        <v>50</v>
      </c>
      <c r="AD26" s="5" t="s">
        <v>46</v>
      </c>
      <c r="AE26" s="5"/>
      <c r="AF26" s="5" t="s">
        <v>46</v>
      </c>
      <c r="AG26" s="5"/>
      <c r="AH26" s="5" t="s">
        <v>211</v>
      </c>
      <c r="AI26" s="5" t="s">
        <v>212</v>
      </c>
      <c r="AJ26" s="5" t="s">
        <v>173</v>
      </c>
      <c r="AK26" s="5" t="s">
        <v>46</v>
      </c>
      <c r="AL26" s="5"/>
      <c r="AM26" s="5">
        <v>3</v>
      </c>
    </row>
    <row r="27" spans="1:39" ht="39.6" x14ac:dyDescent="0.25">
      <c r="A27" s="3">
        <v>45922.648990960646</v>
      </c>
      <c r="B27" s="4">
        <v>45922</v>
      </c>
      <c r="C27" s="5" t="s">
        <v>76</v>
      </c>
      <c r="D27" s="5" t="s">
        <v>38</v>
      </c>
      <c r="E27" s="5" t="s">
        <v>213</v>
      </c>
      <c r="F27" s="5" t="s">
        <v>214</v>
      </c>
      <c r="G27" s="5" t="s">
        <v>142</v>
      </c>
      <c r="H27" s="5" t="s">
        <v>130</v>
      </c>
      <c r="I27" s="5" t="s">
        <v>58</v>
      </c>
      <c r="J27" s="5" t="s">
        <v>44</v>
      </c>
      <c r="K27" s="5" t="s">
        <v>215</v>
      </c>
      <c r="L27" s="5" t="s">
        <v>44</v>
      </c>
      <c r="M27" s="5" t="s">
        <v>216</v>
      </c>
      <c r="N27" s="5" t="s">
        <v>44</v>
      </c>
      <c r="O27" s="5" t="s">
        <v>79</v>
      </c>
      <c r="P27" s="5" t="s">
        <v>46</v>
      </c>
      <c r="Q27" s="5"/>
      <c r="R27" s="5" t="s">
        <v>99</v>
      </c>
      <c r="S27" s="5" t="s">
        <v>46</v>
      </c>
      <c r="T27" s="5"/>
      <c r="U27" s="5" t="s">
        <v>46</v>
      </c>
      <c r="V27" s="5"/>
      <c r="W27" s="5" t="s">
        <v>46</v>
      </c>
      <c r="X27" s="5"/>
      <c r="Y27" s="5" t="s">
        <v>44</v>
      </c>
      <c r="Z27" s="5" t="s">
        <v>217</v>
      </c>
      <c r="AA27" s="5" t="s">
        <v>49</v>
      </c>
      <c r="AB27" s="6" t="s">
        <v>50</v>
      </c>
      <c r="AC27" s="6" t="s">
        <v>50</v>
      </c>
      <c r="AD27" s="5" t="s">
        <v>46</v>
      </c>
      <c r="AE27" s="5"/>
      <c r="AF27" s="5" t="s">
        <v>46</v>
      </c>
      <c r="AG27" s="5"/>
      <c r="AH27" s="5" t="s">
        <v>140</v>
      </c>
      <c r="AI27" s="5" t="s">
        <v>218</v>
      </c>
      <c r="AJ27" s="5" t="s">
        <v>114</v>
      </c>
      <c r="AK27" s="5" t="s">
        <v>46</v>
      </c>
      <c r="AL27" s="5"/>
      <c r="AM27" s="5">
        <v>2</v>
      </c>
    </row>
    <row r="28" spans="1:39" ht="52.8" x14ac:dyDescent="0.25">
      <c r="A28" s="3">
        <v>45922.692345034724</v>
      </c>
      <c r="B28" s="4">
        <v>45922</v>
      </c>
      <c r="C28" s="5" t="s">
        <v>65</v>
      </c>
      <c r="D28" s="5" t="s">
        <v>38</v>
      </c>
      <c r="E28" s="5" t="s">
        <v>39</v>
      </c>
      <c r="F28" s="5" t="s">
        <v>219</v>
      </c>
      <c r="G28" s="5" t="s">
        <v>41</v>
      </c>
      <c r="H28" s="5" t="s">
        <v>57</v>
      </c>
      <c r="I28" s="5" t="s">
        <v>220</v>
      </c>
      <c r="J28" s="5" t="s">
        <v>46</v>
      </c>
      <c r="K28" s="5"/>
      <c r="L28" s="5" t="s">
        <v>46</v>
      </c>
      <c r="M28" s="5"/>
      <c r="N28" s="5" t="s">
        <v>46</v>
      </c>
      <c r="O28" s="5" t="s">
        <v>79</v>
      </c>
      <c r="P28" s="5" t="s">
        <v>46</v>
      </c>
      <c r="Q28" s="5"/>
      <c r="R28" s="5" t="s">
        <v>82</v>
      </c>
      <c r="S28" s="5" t="s">
        <v>46</v>
      </c>
      <c r="T28" s="5"/>
      <c r="U28" s="5" t="s">
        <v>46</v>
      </c>
      <c r="V28" s="5"/>
      <c r="W28" s="5" t="s">
        <v>46</v>
      </c>
      <c r="X28" s="5"/>
      <c r="Y28" s="5" t="s">
        <v>46</v>
      </c>
      <c r="Z28" s="5"/>
      <c r="AA28" s="5" t="s">
        <v>49</v>
      </c>
      <c r="AB28" s="6" t="s">
        <v>50</v>
      </c>
      <c r="AC28" s="6" t="s">
        <v>50</v>
      </c>
      <c r="AD28" s="5" t="s">
        <v>46</v>
      </c>
      <c r="AE28" s="5"/>
      <c r="AF28" s="5" t="s">
        <v>44</v>
      </c>
      <c r="AG28" s="5" t="s">
        <v>221</v>
      </c>
      <c r="AH28" s="5" t="s">
        <v>222</v>
      </c>
      <c r="AI28" s="5" t="s">
        <v>222</v>
      </c>
      <c r="AJ28" s="5" t="s">
        <v>223</v>
      </c>
      <c r="AK28" s="5" t="s">
        <v>46</v>
      </c>
      <c r="AL28" s="5"/>
      <c r="AM28" s="5">
        <v>3</v>
      </c>
    </row>
    <row r="29" spans="1:39" ht="79.2" x14ac:dyDescent="0.25">
      <c r="A29" s="3">
        <v>45922.719215636578</v>
      </c>
      <c r="B29" s="4">
        <v>45922</v>
      </c>
      <c r="C29" s="5" t="s">
        <v>65</v>
      </c>
      <c r="D29" s="5" t="s">
        <v>38</v>
      </c>
      <c r="E29" s="5" t="s">
        <v>129</v>
      </c>
      <c r="F29" s="5" t="s">
        <v>77</v>
      </c>
      <c r="G29" s="5" t="s">
        <v>41</v>
      </c>
      <c r="H29" s="5" t="s">
        <v>57</v>
      </c>
      <c r="I29" s="5" t="s">
        <v>43</v>
      </c>
      <c r="J29" s="5" t="s">
        <v>44</v>
      </c>
      <c r="K29" s="5" t="s">
        <v>224</v>
      </c>
      <c r="L29" s="5" t="s">
        <v>46</v>
      </c>
      <c r="M29" s="5"/>
      <c r="N29" s="5" t="s">
        <v>46</v>
      </c>
      <c r="O29" s="5" t="s">
        <v>79</v>
      </c>
      <c r="P29" s="5" t="s">
        <v>44</v>
      </c>
      <c r="Q29" s="5" t="s">
        <v>225</v>
      </c>
      <c r="R29" s="5" t="s">
        <v>61</v>
      </c>
      <c r="S29" s="5" t="s">
        <v>46</v>
      </c>
      <c r="T29" s="5"/>
      <c r="U29" s="5" t="s">
        <v>46</v>
      </c>
      <c r="V29" s="5"/>
      <c r="W29" s="5" t="s">
        <v>46</v>
      </c>
      <c r="X29" s="5"/>
      <c r="Y29" s="5" t="s">
        <v>46</v>
      </c>
      <c r="Z29" s="5"/>
      <c r="AA29" s="5" t="s">
        <v>50</v>
      </c>
      <c r="AB29" s="6" t="s">
        <v>49</v>
      </c>
      <c r="AC29" s="6" t="s">
        <v>50</v>
      </c>
      <c r="AD29" s="5" t="s">
        <v>44</v>
      </c>
      <c r="AE29" s="5" t="s">
        <v>226</v>
      </c>
      <c r="AF29" s="5" t="s">
        <v>44</v>
      </c>
      <c r="AG29" s="5" t="s">
        <v>227</v>
      </c>
      <c r="AH29" s="5" t="s">
        <v>228</v>
      </c>
      <c r="AI29" s="5" t="s">
        <v>229</v>
      </c>
      <c r="AJ29" s="5" t="s">
        <v>230</v>
      </c>
      <c r="AK29" s="5" t="s">
        <v>46</v>
      </c>
      <c r="AL29" s="5"/>
      <c r="AM29" s="5">
        <v>3</v>
      </c>
    </row>
    <row r="30" spans="1:39" ht="39.6" x14ac:dyDescent="0.25">
      <c r="A30" s="3">
        <v>45922.78369866898</v>
      </c>
      <c r="B30" s="4">
        <v>45922</v>
      </c>
      <c r="C30" s="5" t="s">
        <v>65</v>
      </c>
      <c r="D30" s="5" t="s">
        <v>128</v>
      </c>
      <c r="E30" s="5" t="s">
        <v>107</v>
      </c>
      <c r="F30" s="5" t="s">
        <v>77</v>
      </c>
      <c r="G30" s="5" t="s">
        <v>142</v>
      </c>
      <c r="H30" s="5" t="s">
        <v>57</v>
      </c>
      <c r="I30" s="5" t="s">
        <v>58</v>
      </c>
      <c r="J30" s="5" t="s">
        <v>44</v>
      </c>
      <c r="K30" s="5" t="s">
        <v>231</v>
      </c>
      <c r="L30" s="5" t="s">
        <v>46</v>
      </c>
      <c r="M30" s="5"/>
      <c r="N30" s="5" t="s">
        <v>46</v>
      </c>
      <c r="O30" s="5" t="s">
        <v>155</v>
      </c>
      <c r="P30" s="5" t="s">
        <v>46</v>
      </c>
      <c r="Q30" s="5"/>
      <c r="R30" s="5" t="s">
        <v>61</v>
      </c>
      <c r="S30" s="5" t="s">
        <v>46</v>
      </c>
      <c r="T30" s="5"/>
      <c r="U30" s="5" t="s">
        <v>46</v>
      </c>
      <c r="V30" s="5"/>
      <c r="W30" s="5" t="s">
        <v>46</v>
      </c>
      <c r="X30" s="5"/>
      <c r="Y30" s="5" t="s">
        <v>46</v>
      </c>
      <c r="Z30" s="5"/>
      <c r="AA30" s="5" t="s">
        <v>49</v>
      </c>
      <c r="AB30" s="6" t="s">
        <v>50</v>
      </c>
      <c r="AC30" s="6" t="s">
        <v>50</v>
      </c>
      <c r="AD30" s="5" t="s">
        <v>46</v>
      </c>
      <c r="AE30" s="5"/>
      <c r="AF30" s="5" t="s">
        <v>46</v>
      </c>
      <c r="AG30" s="5"/>
      <c r="AH30" s="5" t="s">
        <v>232</v>
      </c>
      <c r="AI30" s="5" t="s">
        <v>233</v>
      </c>
      <c r="AJ30" s="5" t="s">
        <v>126</v>
      </c>
      <c r="AK30" s="5" t="s">
        <v>46</v>
      </c>
      <c r="AL30" s="5"/>
      <c r="AM30" s="5">
        <v>4</v>
      </c>
    </row>
    <row r="31" spans="1:39" ht="39.6" x14ac:dyDescent="0.25">
      <c r="A31" s="3">
        <v>45922.874754976852</v>
      </c>
      <c r="B31" s="4">
        <v>45922</v>
      </c>
      <c r="C31" s="5" t="s">
        <v>153</v>
      </c>
      <c r="D31" s="5" t="s">
        <v>38</v>
      </c>
      <c r="E31" s="5" t="s">
        <v>213</v>
      </c>
      <c r="F31" s="5" t="s">
        <v>40</v>
      </c>
      <c r="G31" s="5" t="s">
        <v>41</v>
      </c>
      <c r="H31" s="5" t="s">
        <v>130</v>
      </c>
      <c r="I31" s="5" t="s">
        <v>43</v>
      </c>
      <c r="J31" s="5" t="s">
        <v>44</v>
      </c>
      <c r="K31" s="5" t="s">
        <v>234</v>
      </c>
      <c r="L31" s="5" t="s">
        <v>46</v>
      </c>
      <c r="M31" s="5"/>
      <c r="N31" s="5" t="s">
        <v>46</v>
      </c>
      <c r="O31" s="5" t="s">
        <v>79</v>
      </c>
      <c r="P31" s="5" t="s">
        <v>44</v>
      </c>
      <c r="Q31" s="5" t="s">
        <v>235</v>
      </c>
      <c r="R31" s="5" t="s">
        <v>82</v>
      </c>
      <c r="S31" s="5" t="s">
        <v>46</v>
      </c>
      <c r="T31" s="5"/>
      <c r="U31" s="5" t="s">
        <v>46</v>
      </c>
      <c r="V31" s="5"/>
      <c r="W31" s="5" t="s">
        <v>46</v>
      </c>
      <c r="X31" s="5"/>
      <c r="Y31" s="5" t="s">
        <v>46</v>
      </c>
      <c r="Z31" s="5"/>
      <c r="AA31" s="5" t="s">
        <v>71</v>
      </c>
      <c r="AB31" s="6" t="s">
        <v>50</v>
      </c>
      <c r="AC31" s="6" t="s">
        <v>50</v>
      </c>
      <c r="AD31" s="5" t="s">
        <v>44</v>
      </c>
      <c r="AE31" s="5" t="s">
        <v>236</v>
      </c>
      <c r="AF31" s="5" t="s">
        <v>46</v>
      </c>
      <c r="AG31" s="5"/>
      <c r="AH31" s="5" t="s">
        <v>237</v>
      </c>
      <c r="AI31" s="5" t="s">
        <v>238</v>
      </c>
      <c r="AJ31" s="5" t="s">
        <v>239</v>
      </c>
      <c r="AK31" s="5" t="s">
        <v>44</v>
      </c>
      <c r="AL31" s="5" t="s">
        <v>240</v>
      </c>
      <c r="AM31" s="5">
        <v>2</v>
      </c>
    </row>
    <row r="32" spans="1:39" ht="52.8" x14ac:dyDescent="0.25">
      <c r="A32" s="3">
        <v>45925.565613680556</v>
      </c>
      <c r="B32" s="4">
        <v>45925</v>
      </c>
      <c r="C32" s="5" t="s">
        <v>76</v>
      </c>
      <c r="D32" s="5" t="s">
        <v>38</v>
      </c>
      <c r="E32" s="5" t="s">
        <v>129</v>
      </c>
      <c r="F32" s="5" t="s">
        <v>77</v>
      </c>
      <c r="G32" s="5" t="s">
        <v>41</v>
      </c>
      <c r="H32" s="5" t="s">
        <v>42</v>
      </c>
      <c r="I32" s="5" t="s">
        <v>43</v>
      </c>
      <c r="J32" s="5" t="s">
        <v>44</v>
      </c>
      <c r="K32" s="5" t="s">
        <v>241</v>
      </c>
      <c r="L32" s="5" t="s">
        <v>44</v>
      </c>
      <c r="M32" s="5" t="s">
        <v>242</v>
      </c>
      <c r="N32" s="5" t="s">
        <v>44</v>
      </c>
      <c r="O32" s="5" t="s">
        <v>47</v>
      </c>
      <c r="P32" s="5" t="s">
        <v>46</v>
      </c>
      <c r="Q32" s="5"/>
      <c r="R32" s="5" t="s">
        <v>61</v>
      </c>
      <c r="S32" s="5" t="s">
        <v>46</v>
      </c>
      <c r="T32" s="5"/>
      <c r="U32" s="5" t="s">
        <v>46</v>
      </c>
      <c r="V32" s="5"/>
      <c r="W32" s="5" t="s">
        <v>46</v>
      </c>
      <c r="X32" s="5"/>
      <c r="Y32" s="5" t="s">
        <v>46</v>
      </c>
      <c r="Z32" s="5"/>
      <c r="AA32" s="5" t="s">
        <v>50</v>
      </c>
      <c r="AB32" s="6" t="s">
        <v>50</v>
      </c>
      <c r="AC32" s="6" t="s">
        <v>50</v>
      </c>
      <c r="AD32" s="5" t="s">
        <v>44</v>
      </c>
      <c r="AE32" s="5" t="s">
        <v>111</v>
      </c>
      <c r="AF32" s="5" t="s">
        <v>44</v>
      </c>
      <c r="AG32" s="5" t="s">
        <v>243</v>
      </c>
      <c r="AH32" s="5" t="s">
        <v>244</v>
      </c>
      <c r="AI32" s="5" t="s">
        <v>245</v>
      </c>
      <c r="AJ32" s="5" t="s">
        <v>85</v>
      </c>
      <c r="AK32" s="5" t="s">
        <v>44</v>
      </c>
      <c r="AL32" s="5" t="s">
        <v>246</v>
      </c>
      <c r="AM32" s="5">
        <v>2</v>
      </c>
    </row>
    <row r="33" spans="1:39" ht="105.6" x14ac:dyDescent="0.25">
      <c r="A33" s="3">
        <v>45929.965279918979</v>
      </c>
      <c r="B33" s="4">
        <v>37831</v>
      </c>
      <c r="C33" s="5" t="s">
        <v>65</v>
      </c>
      <c r="D33" s="5" t="s">
        <v>38</v>
      </c>
      <c r="E33" s="5" t="s">
        <v>39</v>
      </c>
      <c r="F33" s="5" t="s">
        <v>77</v>
      </c>
      <c r="G33" s="5" t="s">
        <v>142</v>
      </c>
      <c r="H33" s="5" t="s">
        <v>57</v>
      </c>
      <c r="I33" s="5" t="s">
        <v>58</v>
      </c>
      <c r="J33" s="5" t="s">
        <v>44</v>
      </c>
      <c r="K33" s="5" t="s">
        <v>247</v>
      </c>
      <c r="L33" s="5" t="s">
        <v>44</v>
      </c>
      <c r="M33" s="5" t="s">
        <v>248</v>
      </c>
      <c r="N33" s="5" t="s">
        <v>44</v>
      </c>
      <c r="O33" s="5" t="s">
        <v>47</v>
      </c>
      <c r="P33" s="5" t="s">
        <v>46</v>
      </c>
      <c r="Q33" s="5"/>
      <c r="R33" s="5" t="s">
        <v>61</v>
      </c>
      <c r="S33" s="5" t="s">
        <v>46</v>
      </c>
      <c r="T33" s="5"/>
      <c r="U33" s="5" t="s">
        <v>46</v>
      </c>
      <c r="V33" s="5"/>
      <c r="W33" s="5" t="s">
        <v>46</v>
      </c>
      <c r="X33" s="5"/>
      <c r="Y33" s="5" t="s">
        <v>44</v>
      </c>
      <c r="Z33" s="5" t="s">
        <v>249</v>
      </c>
      <c r="AA33" s="5" t="s">
        <v>71</v>
      </c>
      <c r="AB33" s="6" t="s">
        <v>50</v>
      </c>
      <c r="AC33" s="6" t="s">
        <v>50</v>
      </c>
      <c r="AD33" s="5" t="s">
        <v>44</v>
      </c>
      <c r="AE33" s="5" t="s">
        <v>250</v>
      </c>
      <c r="AF33" s="5" t="s">
        <v>46</v>
      </c>
      <c r="AG33" s="5"/>
      <c r="AH33" s="5" t="s">
        <v>251</v>
      </c>
      <c r="AI33" s="5" t="s">
        <v>252</v>
      </c>
      <c r="AJ33" s="5" t="s">
        <v>114</v>
      </c>
      <c r="AK33" s="5" t="s">
        <v>46</v>
      </c>
      <c r="AL33" s="5"/>
      <c r="AM33" s="5">
        <v>2</v>
      </c>
    </row>
    <row r="34" spans="1:39" ht="13.2" x14ac:dyDescent="0.25">
      <c r="A34" s="7"/>
      <c r="B34" s="7"/>
      <c r="C34" s="7"/>
      <c r="D34" s="7"/>
      <c r="E34" s="7"/>
      <c r="F34" s="7"/>
      <c r="G34" s="7"/>
      <c r="H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D34" s="7"/>
      <c r="AE34" s="7"/>
      <c r="AF34" s="7"/>
      <c r="AG34" s="7"/>
      <c r="AH34" s="7"/>
      <c r="AI34" s="7"/>
      <c r="AJ34" s="7"/>
      <c r="AK34" s="7"/>
      <c r="AL34" s="7"/>
      <c r="AM34" s="7"/>
    </row>
    <row r="35" spans="1:39" ht="13.2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D35" s="7"/>
      <c r="AE35" s="7"/>
      <c r="AF35" s="7"/>
      <c r="AG35" s="7"/>
      <c r="AH35" s="7"/>
      <c r="AI35" s="7"/>
      <c r="AJ35" s="7"/>
      <c r="AK35" s="7"/>
      <c r="AL35" s="7"/>
      <c r="AM35" s="7"/>
    </row>
    <row r="36" spans="1:39" ht="13.2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D36" s="7"/>
      <c r="AE36" s="7"/>
      <c r="AF36" s="7"/>
      <c r="AG36" s="7"/>
      <c r="AH36" s="7"/>
      <c r="AI36" s="7"/>
      <c r="AJ36" s="7"/>
      <c r="AK36" s="7"/>
      <c r="AL36" s="7"/>
      <c r="AM36" s="7"/>
    </row>
    <row r="37" spans="1:39" ht="13.2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D37" s="7"/>
      <c r="AE37" s="7"/>
      <c r="AF37" s="7"/>
      <c r="AG37" s="7"/>
      <c r="AH37" s="7"/>
      <c r="AI37" s="7"/>
      <c r="AJ37" s="7"/>
      <c r="AK37" s="7"/>
      <c r="AL37" s="7"/>
      <c r="AM37" s="7"/>
    </row>
    <row r="38" spans="1:39" ht="13.2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D38" s="7"/>
      <c r="AE38" s="7"/>
      <c r="AF38" s="7"/>
      <c r="AG38" s="7"/>
      <c r="AH38" s="7"/>
      <c r="AI38" s="7"/>
      <c r="AJ38" s="7"/>
      <c r="AK38" s="7"/>
      <c r="AL38" s="7"/>
      <c r="AM38" s="7"/>
    </row>
    <row r="39" spans="1:39" ht="13.2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D39" s="7"/>
      <c r="AE39" s="7"/>
      <c r="AF39" s="7"/>
      <c r="AG39" s="7"/>
      <c r="AH39" s="7"/>
      <c r="AI39" s="7"/>
      <c r="AJ39" s="7"/>
      <c r="AK39" s="7"/>
      <c r="AL39" s="7"/>
      <c r="AM39" s="7"/>
    </row>
    <row r="40" spans="1:39" ht="13.2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D40" s="7"/>
      <c r="AE40" s="7"/>
      <c r="AF40" s="7"/>
      <c r="AG40" s="7"/>
      <c r="AH40" s="7"/>
      <c r="AI40" s="7"/>
      <c r="AJ40" s="7"/>
      <c r="AK40" s="7"/>
      <c r="AL40" s="7"/>
      <c r="AM40" s="7"/>
    </row>
    <row r="41" spans="1:39" ht="13.2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D41" s="7"/>
      <c r="AE41" s="7"/>
      <c r="AF41" s="7"/>
      <c r="AG41" s="7"/>
      <c r="AH41" s="7"/>
      <c r="AI41" s="7"/>
      <c r="AJ41" s="7"/>
      <c r="AK41" s="7"/>
      <c r="AL41" s="7"/>
      <c r="AM41" s="7"/>
    </row>
    <row r="42" spans="1:39" ht="13.2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D42" s="7"/>
      <c r="AE42" s="7"/>
      <c r="AF42" s="7"/>
      <c r="AG42" s="7"/>
      <c r="AH42" s="7"/>
      <c r="AI42" s="7"/>
      <c r="AJ42" s="7"/>
      <c r="AK42" s="7"/>
      <c r="AL42" s="7"/>
      <c r="AM42" s="7"/>
    </row>
    <row r="43" spans="1:39" ht="13.2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D43" s="7"/>
      <c r="AE43" s="7"/>
      <c r="AF43" s="7"/>
      <c r="AG43" s="7"/>
      <c r="AH43" s="7"/>
      <c r="AI43" s="7"/>
      <c r="AJ43" s="7"/>
      <c r="AK43" s="7"/>
      <c r="AL43" s="7"/>
      <c r="AM43" s="7"/>
    </row>
    <row r="44" spans="1:39" ht="13.2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D44" s="7"/>
      <c r="AE44" s="7"/>
      <c r="AF44" s="7"/>
      <c r="AG44" s="7"/>
      <c r="AH44" s="7"/>
      <c r="AI44" s="7"/>
      <c r="AJ44" s="7"/>
      <c r="AK44" s="7"/>
      <c r="AL44" s="7"/>
      <c r="AM44" s="7"/>
    </row>
    <row r="45" spans="1:39" ht="13.2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D45" s="7"/>
      <c r="AE45" s="7"/>
      <c r="AF45" s="7"/>
      <c r="AG45" s="7"/>
      <c r="AH45" s="7"/>
      <c r="AI45" s="7"/>
      <c r="AJ45" s="7"/>
      <c r="AK45" s="7"/>
      <c r="AL45" s="7"/>
      <c r="AM45" s="7"/>
    </row>
    <row r="46" spans="1:39" ht="13.2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D46" s="7"/>
      <c r="AE46" s="7"/>
      <c r="AF46" s="7"/>
      <c r="AG46" s="7"/>
      <c r="AH46" s="7"/>
      <c r="AI46" s="7"/>
      <c r="AJ46" s="7"/>
      <c r="AK46" s="7"/>
      <c r="AL46" s="7"/>
      <c r="AM46" s="7"/>
    </row>
    <row r="47" spans="1:39" ht="13.2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D47" s="7"/>
      <c r="AE47" s="7"/>
      <c r="AF47" s="7"/>
      <c r="AG47" s="7"/>
      <c r="AH47" s="7"/>
      <c r="AI47" s="7"/>
      <c r="AJ47" s="7"/>
      <c r="AK47" s="7"/>
      <c r="AL47" s="7"/>
      <c r="AM47" s="7"/>
    </row>
    <row r="48" spans="1:39" ht="13.2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D48" s="7"/>
      <c r="AE48" s="7"/>
      <c r="AF48" s="7"/>
      <c r="AG48" s="7"/>
      <c r="AH48" s="7"/>
      <c r="AI48" s="7"/>
      <c r="AJ48" s="7"/>
      <c r="AK48" s="7"/>
      <c r="AL48" s="7"/>
      <c r="AM48" s="7"/>
    </row>
    <row r="49" spans="1:39" ht="13.2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D49" s="7"/>
      <c r="AE49" s="7"/>
      <c r="AF49" s="7"/>
      <c r="AG49" s="7"/>
      <c r="AH49" s="7"/>
      <c r="AI49" s="7"/>
      <c r="AJ49" s="7"/>
      <c r="AK49" s="7"/>
      <c r="AL49" s="7"/>
      <c r="AM49" s="7"/>
    </row>
    <row r="50" spans="1:39" ht="13.2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D50" s="7"/>
      <c r="AE50" s="7"/>
      <c r="AF50" s="7"/>
      <c r="AG50" s="7"/>
      <c r="AH50" s="7"/>
      <c r="AI50" s="7"/>
      <c r="AJ50" s="7"/>
      <c r="AK50" s="7"/>
      <c r="AL50" s="7"/>
      <c r="AM50" s="7"/>
    </row>
    <row r="51" spans="1:39" ht="13.2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D51" s="7"/>
      <c r="AE51" s="7"/>
      <c r="AF51" s="7"/>
      <c r="AG51" s="7"/>
      <c r="AH51" s="7"/>
      <c r="AI51" s="7"/>
      <c r="AJ51" s="7"/>
      <c r="AK51" s="7"/>
      <c r="AL51" s="7"/>
      <c r="AM51" s="7"/>
    </row>
    <row r="52" spans="1:39" ht="13.2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D52" s="7"/>
      <c r="AE52" s="7"/>
      <c r="AF52" s="7"/>
      <c r="AG52" s="7"/>
      <c r="AH52" s="7"/>
      <c r="AI52" s="7"/>
      <c r="AJ52" s="7"/>
      <c r="AK52" s="7"/>
      <c r="AL52" s="7"/>
      <c r="AM52" s="7"/>
    </row>
    <row r="53" spans="1:39" ht="13.2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D53" s="7"/>
      <c r="AE53" s="7"/>
      <c r="AF53" s="7"/>
      <c r="AG53" s="7"/>
      <c r="AH53" s="7"/>
      <c r="AI53" s="7"/>
      <c r="AJ53" s="7"/>
      <c r="AK53" s="7"/>
      <c r="AL53" s="7"/>
      <c r="AM53" s="7"/>
    </row>
    <row r="54" spans="1:39" ht="13.2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D54" s="7"/>
      <c r="AE54" s="7"/>
      <c r="AF54" s="7"/>
      <c r="AG54" s="7"/>
      <c r="AH54" s="7"/>
      <c r="AI54" s="7"/>
      <c r="AJ54" s="7"/>
      <c r="AK54" s="7"/>
      <c r="AL54" s="7"/>
      <c r="AM54" s="7"/>
    </row>
    <row r="55" spans="1:39" ht="13.2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D55" s="7"/>
      <c r="AE55" s="7"/>
      <c r="AF55" s="7"/>
      <c r="AG55" s="7"/>
      <c r="AH55" s="7"/>
      <c r="AI55" s="7"/>
      <c r="AJ55" s="7"/>
      <c r="AK55" s="7"/>
      <c r="AL55" s="7"/>
      <c r="AM55" s="7"/>
    </row>
    <row r="56" spans="1:39" ht="13.2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D56" s="7"/>
      <c r="AE56" s="7"/>
      <c r="AF56" s="7"/>
      <c r="AG56" s="7"/>
      <c r="AH56" s="7"/>
      <c r="AI56" s="7"/>
      <c r="AJ56" s="7"/>
      <c r="AK56" s="7"/>
      <c r="AL56" s="7"/>
      <c r="AM56" s="7"/>
    </row>
    <row r="57" spans="1:39" ht="13.2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D57" s="7"/>
      <c r="AE57" s="7"/>
      <c r="AF57" s="7"/>
      <c r="AG57" s="7"/>
      <c r="AH57" s="7"/>
      <c r="AI57" s="7"/>
      <c r="AJ57" s="7"/>
      <c r="AK57" s="7"/>
      <c r="AL57" s="7"/>
      <c r="AM57" s="7"/>
    </row>
    <row r="58" spans="1:39" ht="13.2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D58" s="7"/>
      <c r="AE58" s="7"/>
      <c r="AF58" s="7"/>
      <c r="AG58" s="7"/>
      <c r="AH58" s="7"/>
      <c r="AI58" s="7"/>
      <c r="AJ58" s="7"/>
      <c r="AK58" s="7"/>
      <c r="AL58" s="7"/>
      <c r="AM58" s="7"/>
    </row>
    <row r="59" spans="1:39" ht="13.2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D59" s="7"/>
      <c r="AE59" s="7"/>
      <c r="AF59" s="7"/>
      <c r="AG59" s="7"/>
      <c r="AH59" s="7"/>
      <c r="AI59" s="7"/>
      <c r="AJ59" s="7"/>
      <c r="AK59" s="7"/>
      <c r="AL59" s="7"/>
      <c r="AM59" s="7"/>
    </row>
    <row r="60" spans="1:39" ht="13.2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D60" s="7"/>
      <c r="AE60" s="7"/>
      <c r="AF60" s="7"/>
      <c r="AG60" s="7"/>
      <c r="AH60" s="7"/>
      <c r="AI60" s="7"/>
      <c r="AJ60" s="7"/>
      <c r="AK60" s="7"/>
      <c r="AL60" s="7"/>
      <c r="AM60" s="7"/>
    </row>
    <row r="61" spans="1:39" ht="13.2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D61" s="7"/>
      <c r="AE61" s="7"/>
      <c r="AF61" s="7"/>
      <c r="AG61" s="7"/>
      <c r="AH61" s="7"/>
      <c r="AI61" s="7"/>
      <c r="AJ61" s="7"/>
      <c r="AK61" s="7"/>
      <c r="AL61" s="7"/>
      <c r="AM61" s="7"/>
    </row>
    <row r="62" spans="1:39" ht="13.2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D62" s="7"/>
      <c r="AE62" s="7"/>
      <c r="AF62" s="7"/>
      <c r="AG62" s="7"/>
      <c r="AH62" s="7"/>
      <c r="AI62" s="7"/>
      <c r="AJ62" s="7"/>
      <c r="AK62" s="7"/>
      <c r="AL62" s="7"/>
      <c r="AM62" s="7"/>
    </row>
    <row r="63" spans="1:39" ht="13.2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D63" s="7"/>
      <c r="AE63" s="7"/>
      <c r="AF63" s="7"/>
      <c r="AG63" s="7"/>
      <c r="AH63" s="7"/>
      <c r="AI63" s="7"/>
      <c r="AJ63" s="7"/>
      <c r="AK63" s="7"/>
      <c r="AL63" s="7"/>
      <c r="AM63" s="7"/>
    </row>
    <row r="64" spans="1:39" ht="13.2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D64" s="7"/>
      <c r="AE64" s="7"/>
      <c r="AF64" s="7"/>
      <c r="AG64" s="7"/>
      <c r="AH64" s="7"/>
      <c r="AI64" s="7"/>
      <c r="AJ64" s="7"/>
      <c r="AK64" s="7"/>
      <c r="AL64" s="7"/>
      <c r="AM64" s="7"/>
    </row>
    <row r="65" spans="1:39" ht="13.2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D65" s="7"/>
      <c r="AE65" s="7"/>
      <c r="AF65" s="7"/>
      <c r="AG65" s="7"/>
      <c r="AH65" s="7"/>
      <c r="AI65" s="7"/>
      <c r="AJ65" s="7"/>
      <c r="AK65" s="7"/>
      <c r="AL65" s="7"/>
      <c r="AM65" s="7"/>
    </row>
    <row r="66" spans="1:39" ht="13.2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D66" s="7"/>
      <c r="AE66" s="7"/>
      <c r="AF66" s="7"/>
      <c r="AG66" s="7"/>
      <c r="AH66" s="7"/>
      <c r="AI66" s="7"/>
      <c r="AJ66" s="7"/>
      <c r="AK66" s="7"/>
      <c r="AL66" s="7"/>
      <c r="AM66" s="7"/>
    </row>
    <row r="67" spans="1:39" ht="13.2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D67" s="7"/>
      <c r="AE67" s="7"/>
      <c r="AF67" s="7"/>
      <c r="AG67" s="7"/>
      <c r="AH67" s="7"/>
      <c r="AI67" s="7"/>
      <c r="AJ67" s="7"/>
      <c r="AK67" s="7"/>
      <c r="AL67" s="7"/>
      <c r="AM67" s="7"/>
    </row>
    <row r="68" spans="1:39" ht="13.2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D68" s="7"/>
      <c r="AE68" s="7"/>
      <c r="AF68" s="7"/>
      <c r="AG68" s="7"/>
      <c r="AH68" s="7"/>
      <c r="AI68" s="7"/>
      <c r="AJ68" s="7"/>
      <c r="AK68" s="7"/>
      <c r="AL68" s="7"/>
      <c r="AM68" s="7"/>
    </row>
    <row r="69" spans="1:39" ht="13.2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D69" s="7"/>
      <c r="AE69" s="7"/>
      <c r="AF69" s="7"/>
      <c r="AG69" s="7"/>
      <c r="AH69" s="7"/>
      <c r="AI69" s="7"/>
      <c r="AJ69" s="7"/>
      <c r="AK69" s="7"/>
      <c r="AL69" s="7"/>
      <c r="AM69" s="7"/>
    </row>
    <row r="70" spans="1:39" ht="13.2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D70" s="7"/>
      <c r="AE70" s="7"/>
      <c r="AF70" s="7"/>
      <c r="AG70" s="7"/>
      <c r="AH70" s="7"/>
      <c r="AI70" s="7"/>
      <c r="AJ70" s="7"/>
      <c r="AK70" s="7"/>
      <c r="AL70" s="7"/>
      <c r="AM70" s="7"/>
    </row>
    <row r="71" spans="1:39" ht="13.2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D71" s="7"/>
      <c r="AE71" s="7"/>
      <c r="AF71" s="7"/>
      <c r="AG71" s="7"/>
      <c r="AH71" s="7"/>
      <c r="AI71" s="7"/>
      <c r="AJ71" s="7"/>
      <c r="AK71" s="7"/>
      <c r="AL71" s="7"/>
      <c r="AM71" s="7"/>
    </row>
    <row r="72" spans="1:39" ht="13.2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D72" s="7"/>
      <c r="AE72" s="7"/>
      <c r="AF72" s="7"/>
      <c r="AG72" s="7"/>
      <c r="AH72" s="7"/>
      <c r="AI72" s="7"/>
      <c r="AJ72" s="7"/>
      <c r="AK72" s="7"/>
      <c r="AL72" s="7"/>
      <c r="AM72" s="7"/>
    </row>
    <row r="73" spans="1:39" ht="13.2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D73" s="7"/>
      <c r="AE73" s="7"/>
      <c r="AF73" s="7"/>
      <c r="AG73" s="7"/>
      <c r="AH73" s="7"/>
      <c r="AI73" s="7"/>
      <c r="AJ73" s="7"/>
      <c r="AK73" s="7"/>
      <c r="AL73" s="7"/>
      <c r="AM73" s="7"/>
    </row>
    <row r="74" spans="1:39" ht="13.2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D74" s="7"/>
      <c r="AE74" s="7"/>
      <c r="AF74" s="7"/>
      <c r="AG74" s="7"/>
      <c r="AH74" s="7"/>
      <c r="AI74" s="7"/>
      <c r="AJ74" s="7"/>
      <c r="AK74" s="7"/>
      <c r="AL74" s="7"/>
      <c r="AM74" s="7"/>
    </row>
    <row r="75" spans="1:39" ht="13.2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D75" s="7"/>
      <c r="AE75" s="7"/>
      <c r="AF75" s="7"/>
      <c r="AG75" s="7"/>
      <c r="AH75" s="7"/>
      <c r="AI75" s="7"/>
      <c r="AJ75" s="7"/>
      <c r="AK75" s="7"/>
      <c r="AL75" s="7"/>
      <c r="AM75" s="7"/>
    </row>
    <row r="76" spans="1:39" ht="13.2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D76" s="7"/>
      <c r="AE76" s="7"/>
      <c r="AF76" s="7"/>
      <c r="AG76" s="7"/>
      <c r="AH76" s="7"/>
      <c r="AI76" s="7"/>
      <c r="AJ76" s="7"/>
      <c r="AK76" s="7"/>
      <c r="AL76" s="7"/>
      <c r="AM76" s="7"/>
    </row>
    <row r="77" spans="1:39" ht="13.2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D77" s="7"/>
      <c r="AE77" s="7"/>
      <c r="AF77" s="7"/>
      <c r="AG77" s="7"/>
      <c r="AH77" s="7"/>
      <c r="AI77" s="7"/>
      <c r="AJ77" s="7"/>
      <c r="AK77" s="7"/>
      <c r="AL77" s="7"/>
      <c r="AM77" s="7"/>
    </row>
    <row r="78" spans="1:39" ht="13.2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D78" s="7"/>
      <c r="AE78" s="7"/>
      <c r="AF78" s="7"/>
      <c r="AG78" s="7"/>
      <c r="AH78" s="7"/>
      <c r="AI78" s="7"/>
      <c r="AJ78" s="7"/>
      <c r="AK78" s="7"/>
      <c r="AL78" s="7"/>
      <c r="AM78" s="7"/>
    </row>
    <row r="79" spans="1:39" ht="13.2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D79" s="7"/>
      <c r="AE79" s="7"/>
      <c r="AF79" s="7"/>
      <c r="AG79" s="7"/>
      <c r="AH79" s="7"/>
      <c r="AI79" s="7"/>
      <c r="AJ79" s="7"/>
      <c r="AK79" s="7"/>
      <c r="AL79" s="7"/>
      <c r="AM79" s="7"/>
    </row>
    <row r="80" spans="1:39" ht="13.2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D80" s="7"/>
      <c r="AE80" s="7"/>
      <c r="AF80" s="7"/>
      <c r="AG80" s="7"/>
      <c r="AH80" s="7"/>
      <c r="AI80" s="7"/>
      <c r="AJ80" s="7"/>
      <c r="AK80" s="7"/>
      <c r="AL80" s="7"/>
      <c r="AM80" s="7"/>
    </row>
    <row r="81" spans="1:39" ht="13.2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D81" s="7"/>
      <c r="AE81" s="7"/>
      <c r="AF81" s="7"/>
      <c r="AG81" s="7"/>
      <c r="AH81" s="7"/>
      <c r="AI81" s="7"/>
      <c r="AJ81" s="7"/>
      <c r="AK81" s="7"/>
      <c r="AL81" s="7"/>
      <c r="AM81" s="7"/>
    </row>
    <row r="82" spans="1:39" ht="13.2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D82" s="7"/>
      <c r="AE82" s="7"/>
      <c r="AF82" s="7"/>
      <c r="AG82" s="7"/>
      <c r="AH82" s="7"/>
      <c r="AI82" s="7"/>
      <c r="AJ82" s="7"/>
      <c r="AK82" s="7"/>
      <c r="AL82" s="7"/>
      <c r="AM82" s="7"/>
    </row>
    <row r="83" spans="1:39" ht="13.2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D83" s="7"/>
      <c r="AE83" s="7"/>
      <c r="AF83" s="7"/>
      <c r="AG83" s="7"/>
      <c r="AH83" s="7"/>
      <c r="AI83" s="7"/>
      <c r="AJ83" s="7"/>
      <c r="AK83" s="7"/>
      <c r="AL83" s="7"/>
      <c r="AM83" s="7"/>
    </row>
    <row r="84" spans="1:39" ht="13.2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D84" s="7"/>
      <c r="AE84" s="7"/>
      <c r="AF84" s="7"/>
      <c r="AG84" s="7"/>
      <c r="AH84" s="7"/>
      <c r="AI84" s="7"/>
      <c r="AJ84" s="7"/>
      <c r="AK84" s="7"/>
      <c r="AL84" s="7"/>
      <c r="AM84" s="7"/>
    </row>
    <row r="85" spans="1:39" ht="13.2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D85" s="7"/>
      <c r="AE85" s="7"/>
      <c r="AF85" s="7"/>
      <c r="AG85" s="7"/>
      <c r="AH85" s="7"/>
      <c r="AI85" s="7"/>
      <c r="AJ85" s="7"/>
      <c r="AK85" s="7"/>
      <c r="AL85" s="7"/>
      <c r="AM85" s="7"/>
    </row>
    <row r="86" spans="1:39" ht="13.2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D86" s="7"/>
      <c r="AE86" s="7"/>
      <c r="AF86" s="7"/>
      <c r="AG86" s="7"/>
      <c r="AH86" s="7"/>
      <c r="AI86" s="7"/>
      <c r="AJ86" s="7"/>
      <c r="AK86" s="7"/>
      <c r="AL86" s="7"/>
      <c r="AM86" s="7"/>
    </row>
    <row r="87" spans="1:39" ht="13.2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D87" s="7"/>
      <c r="AE87" s="7"/>
      <c r="AF87" s="7"/>
      <c r="AG87" s="7"/>
      <c r="AH87" s="7"/>
      <c r="AI87" s="7"/>
      <c r="AJ87" s="7"/>
      <c r="AK87" s="7"/>
      <c r="AL87" s="7"/>
      <c r="AM87" s="7"/>
    </row>
    <row r="88" spans="1:39" ht="13.2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D88" s="7"/>
      <c r="AE88" s="7"/>
      <c r="AF88" s="7"/>
      <c r="AG88" s="7"/>
      <c r="AH88" s="7"/>
      <c r="AI88" s="7"/>
      <c r="AJ88" s="7"/>
      <c r="AK88" s="7"/>
      <c r="AL88" s="7"/>
      <c r="AM88" s="7"/>
    </row>
    <row r="89" spans="1:39" ht="13.2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D89" s="7"/>
      <c r="AE89" s="7"/>
      <c r="AF89" s="7"/>
      <c r="AG89" s="7"/>
      <c r="AH89" s="7"/>
      <c r="AI89" s="7"/>
      <c r="AJ89" s="7"/>
      <c r="AK89" s="7"/>
      <c r="AL89" s="7"/>
      <c r="AM89" s="7"/>
    </row>
    <row r="90" spans="1:39" ht="13.2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D90" s="7"/>
      <c r="AE90" s="7"/>
      <c r="AF90" s="7"/>
      <c r="AG90" s="7"/>
      <c r="AH90" s="7"/>
      <c r="AI90" s="7"/>
      <c r="AJ90" s="7"/>
      <c r="AK90" s="7"/>
      <c r="AL90" s="7"/>
      <c r="AM90" s="7"/>
    </row>
    <row r="91" spans="1:39" ht="13.2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D91" s="7"/>
      <c r="AE91" s="7"/>
      <c r="AF91" s="7"/>
      <c r="AG91" s="7"/>
      <c r="AH91" s="7"/>
      <c r="AI91" s="7"/>
      <c r="AJ91" s="7"/>
      <c r="AK91" s="7"/>
      <c r="AL91" s="7"/>
      <c r="AM91" s="7"/>
    </row>
    <row r="92" spans="1:39" ht="13.2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D92" s="7"/>
      <c r="AE92" s="7"/>
      <c r="AF92" s="7"/>
      <c r="AG92" s="7"/>
      <c r="AH92" s="7"/>
      <c r="AI92" s="7"/>
      <c r="AJ92" s="7"/>
      <c r="AK92" s="7"/>
      <c r="AL92" s="7"/>
      <c r="AM92" s="7"/>
    </row>
    <row r="93" spans="1:39" ht="13.2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D93" s="7"/>
      <c r="AE93" s="7"/>
      <c r="AF93" s="7"/>
      <c r="AG93" s="7"/>
      <c r="AH93" s="7"/>
      <c r="AI93" s="7"/>
      <c r="AJ93" s="7"/>
      <c r="AK93" s="7"/>
      <c r="AL93" s="7"/>
      <c r="AM93" s="7"/>
    </row>
    <row r="94" spans="1:39" ht="13.2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D94" s="7"/>
      <c r="AE94" s="7"/>
      <c r="AF94" s="7"/>
      <c r="AG94" s="7"/>
      <c r="AH94" s="7"/>
      <c r="AI94" s="7"/>
      <c r="AJ94" s="7"/>
      <c r="AK94" s="7"/>
      <c r="AL94" s="7"/>
      <c r="AM94" s="7"/>
    </row>
    <row r="95" spans="1:39" ht="13.2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D95" s="7"/>
      <c r="AE95" s="7"/>
      <c r="AF95" s="7"/>
      <c r="AG95" s="7"/>
      <c r="AH95" s="7"/>
      <c r="AI95" s="7"/>
      <c r="AJ95" s="7"/>
      <c r="AK95" s="7"/>
      <c r="AL95" s="7"/>
      <c r="AM95" s="7"/>
    </row>
    <row r="96" spans="1:39" ht="13.2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D96" s="7"/>
      <c r="AE96" s="7"/>
      <c r="AF96" s="7"/>
      <c r="AG96" s="7"/>
      <c r="AH96" s="7"/>
      <c r="AI96" s="7"/>
      <c r="AJ96" s="7"/>
      <c r="AK96" s="7"/>
      <c r="AL96" s="7"/>
      <c r="AM96" s="7"/>
    </row>
    <row r="97" spans="1:39" ht="13.2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D97" s="7"/>
      <c r="AE97" s="7"/>
      <c r="AF97" s="7"/>
      <c r="AG97" s="7"/>
      <c r="AH97" s="7"/>
      <c r="AI97" s="7"/>
      <c r="AJ97" s="7"/>
      <c r="AK97" s="7"/>
      <c r="AL97" s="7"/>
      <c r="AM97" s="7"/>
    </row>
    <row r="98" spans="1:39" ht="13.2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D98" s="7"/>
      <c r="AE98" s="7"/>
      <c r="AF98" s="7"/>
      <c r="AG98" s="7"/>
      <c r="AH98" s="7"/>
      <c r="AI98" s="7"/>
      <c r="AJ98" s="7"/>
      <c r="AK98" s="7"/>
      <c r="AL98" s="7"/>
      <c r="AM98" s="7"/>
    </row>
    <row r="99" spans="1:39" ht="13.2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D99" s="7"/>
      <c r="AE99" s="7"/>
      <c r="AF99" s="7"/>
      <c r="AG99" s="7"/>
      <c r="AH99" s="7"/>
      <c r="AI99" s="7"/>
      <c r="AJ99" s="7"/>
      <c r="AK99" s="7"/>
      <c r="AL99" s="7"/>
      <c r="AM99" s="7"/>
    </row>
    <row r="100" spans="1:39" ht="13.2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</row>
    <row r="101" spans="1:39" ht="13.2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</row>
    <row r="102" spans="1:39" ht="13.2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</row>
    <row r="103" spans="1:39" ht="13.2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</row>
    <row r="104" spans="1:39" ht="13.2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</row>
    <row r="105" spans="1:39" ht="13.2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</row>
    <row r="106" spans="1:39" ht="13.2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</row>
    <row r="107" spans="1:39" ht="13.2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</row>
    <row r="108" spans="1:39" ht="13.2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</row>
    <row r="109" spans="1:39" ht="13.2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</row>
    <row r="110" spans="1:39" ht="13.2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</row>
    <row r="111" spans="1:39" ht="13.2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</row>
    <row r="112" spans="1:39" ht="13.2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</row>
    <row r="113" spans="1:39" ht="13.2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</row>
    <row r="114" spans="1:39" ht="13.2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</row>
    <row r="115" spans="1:39" ht="13.2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</row>
    <row r="116" spans="1:39" ht="13.2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</row>
    <row r="117" spans="1:39" ht="13.2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</row>
    <row r="118" spans="1:39" ht="13.2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</row>
    <row r="119" spans="1:39" ht="13.2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</row>
    <row r="120" spans="1:39" ht="13.2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</row>
    <row r="121" spans="1:39" ht="13.2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</row>
    <row r="122" spans="1:39" ht="13.2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</row>
    <row r="123" spans="1:39" ht="13.2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</row>
    <row r="124" spans="1:39" ht="13.2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</row>
    <row r="125" spans="1:39" ht="13.2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</row>
    <row r="126" spans="1:39" ht="13.2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</row>
    <row r="127" spans="1:39" ht="13.2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</row>
    <row r="128" spans="1:39" ht="13.2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</row>
    <row r="129" spans="1:39" ht="13.2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</row>
    <row r="130" spans="1:39" ht="13.2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</row>
    <row r="131" spans="1:39" ht="13.2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</row>
    <row r="132" spans="1:39" ht="13.2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</row>
    <row r="133" spans="1:39" ht="13.2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324"/>
  <sheetViews>
    <sheetView topLeftCell="A223" zoomScale="43" zoomScaleNormal="100" workbookViewId="0">
      <selection activeCell="F293" sqref="F293:J298"/>
    </sheetView>
  </sheetViews>
  <sheetFormatPr defaultColWidth="11.5546875" defaultRowHeight="13.2" x14ac:dyDescent="0.25"/>
  <cols>
    <col min="3" max="3" width="16.109375" customWidth="1"/>
    <col min="4" max="4" width="16.88671875" bestFit="1" customWidth="1"/>
    <col min="5" max="5" width="28.21875" bestFit="1" customWidth="1"/>
    <col min="6" max="6" width="37.5546875" bestFit="1" customWidth="1"/>
    <col min="7" max="7" width="8.109375" bestFit="1" customWidth="1"/>
    <col min="8" max="8" width="11" bestFit="1" customWidth="1"/>
    <col min="9" max="9" width="11.33203125" customWidth="1"/>
    <col min="10" max="10" width="19.33203125" customWidth="1"/>
    <col min="11" max="11" width="11.88671875" customWidth="1"/>
  </cols>
  <sheetData>
    <row r="2" spans="1:6" x14ac:dyDescent="0.25">
      <c r="A2" s="9" t="s">
        <v>80</v>
      </c>
      <c r="B2" s="9" t="s">
        <v>46</v>
      </c>
      <c r="C2" t="str">
        <f>IF(
  AND(
    OR(TRIM(A2)="Sí",TRIM(A2)="Si"),
    OR(TRIM(B2)="Sí",TRIM(B2)="Si")
  ),
  "Saben de ambos temas",
  IF(
    AND(
      OR(TRIM(A2)="Sí",TRIM(A2)="Si"),
      OR(TRIM(B2)="No",TRIM(B2)="NO",TRIM(B2)="No ")
    ),
    "Saben solo de cambio climático",
    IF(
      AND(
        OR(TRIM(A2)="No",TRIM(A2)="NO",TRIM(A2)="No "),
        OR(TRIM(B2)="No",TRIM(B2)="NO",TRIM(B2)="No ")
      ),
      "No saben de ninguno de los dos",
      ""
    )
  )
)</f>
        <v>Saben solo de cambio climático</v>
      </c>
    </row>
    <row r="3" spans="1:6" x14ac:dyDescent="0.25">
      <c r="A3" s="10" t="s">
        <v>80</v>
      </c>
      <c r="B3" s="10" t="s">
        <v>80</v>
      </c>
      <c r="C3" t="str">
        <f t="shared" ref="C3:C33" si="0">IF(
  AND(
    OR(TRIM(A3)="Sí",TRIM(A3)="Si"),
    OR(TRIM(B3)="Sí",TRIM(B3)="Si")
  ),
  "Saben de ambos temas",
  IF(
    AND(
      OR(TRIM(A3)="Sí",TRIM(A3)="Si"),
      OR(TRIM(B3)="No",TRIM(B3)="NO",TRIM(B3)="No ")
    ),
    "Saben solo de cambio climático",
    IF(
      AND(
        OR(TRIM(A3)="No",TRIM(A3)="NO",TRIM(A3)="No "),
        OR(TRIM(B3)="No",TRIM(B3)="NO",TRIM(B3)="No ")
      ),
      "No saben de ninguno de los dos",
      ""
    )
  )
)</f>
        <v>Saben de ambos temas</v>
      </c>
      <c r="E3" s="46" t="s">
        <v>283</v>
      </c>
      <c r="F3" s="51" t="s">
        <v>264</v>
      </c>
    </row>
    <row r="4" spans="1:6" x14ac:dyDescent="0.25">
      <c r="A4" s="9" t="s">
        <v>80</v>
      </c>
      <c r="B4" s="9" t="s">
        <v>80</v>
      </c>
      <c r="C4" t="str">
        <f t="shared" si="0"/>
        <v>Saben de ambos temas</v>
      </c>
      <c r="E4" s="52" t="s">
        <v>263</v>
      </c>
      <c r="F4" s="55">
        <v>0.32258064516129031</v>
      </c>
    </row>
    <row r="5" spans="1:6" x14ac:dyDescent="0.25">
      <c r="A5" s="10" t="s">
        <v>80</v>
      </c>
      <c r="B5" s="10" t="s">
        <v>80</v>
      </c>
      <c r="C5" t="str">
        <f t="shared" si="0"/>
        <v>Saben de ambos temas</v>
      </c>
      <c r="E5" s="56" t="s">
        <v>262</v>
      </c>
      <c r="F5" s="58">
        <v>0.54838709677419351</v>
      </c>
    </row>
    <row r="6" spans="1:6" x14ac:dyDescent="0.25">
      <c r="A6" s="9" t="s">
        <v>80</v>
      </c>
      <c r="B6" s="9" t="s">
        <v>80</v>
      </c>
      <c r="C6" t="str">
        <f t="shared" si="0"/>
        <v>Saben de ambos temas</v>
      </c>
      <c r="E6" s="56" t="s">
        <v>265</v>
      </c>
      <c r="F6" s="58">
        <v>0.12903225806451613</v>
      </c>
    </row>
    <row r="7" spans="1:6" x14ac:dyDescent="0.25">
      <c r="A7" s="10" t="s">
        <v>80</v>
      </c>
      <c r="B7" s="10" t="s">
        <v>80</v>
      </c>
      <c r="C7" t="str">
        <f t="shared" si="0"/>
        <v>Saben de ambos temas</v>
      </c>
      <c r="E7" s="59" t="s">
        <v>284</v>
      </c>
      <c r="F7" s="62">
        <v>1</v>
      </c>
    </row>
    <row r="8" spans="1:6" x14ac:dyDescent="0.25">
      <c r="A8" s="9" t="s">
        <v>80</v>
      </c>
      <c r="B8" s="9" t="s">
        <v>80</v>
      </c>
      <c r="C8" t="str">
        <f t="shared" si="0"/>
        <v>Saben de ambos temas</v>
      </c>
    </row>
    <row r="9" spans="1:6" x14ac:dyDescent="0.25">
      <c r="A9" s="10" t="s">
        <v>80</v>
      </c>
      <c r="B9" s="10" t="s">
        <v>80</v>
      </c>
      <c r="C9" t="str">
        <f t="shared" si="0"/>
        <v>Saben de ambos temas</v>
      </c>
    </row>
    <row r="10" spans="1:6" x14ac:dyDescent="0.25">
      <c r="A10" s="9" t="s">
        <v>80</v>
      </c>
      <c r="B10" s="9" t="s">
        <v>80</v>
      </c>
      <c r="C10" t="str">
        <f t="shared" si="0"/>
        <v>Saben de ambos temas</v>
      </c>
    </row>
    <row r="11" spans="1:6" x14ac:dyDescent="0.25">
      <c r="A11" s="10" t="s">
        <v>80</v>
      </c>
      <c r="B11" s="10" t="s">
        <v>80</v>
      </c>
      <c r="C11" t="str">
        <f t="shared" si="0"/>
        <v>Saben de ambos temas</v>
      </c>
    </row>
    <row r="12" spans="1:6" x14ac:dyDescent="0.25">
      <c r="A12" s="9" t="s">
        <v>46</v>
      </c>
      <c r="B12" s="9" t="s">
        <v>46</v>
      </c>
      <c r="C12" t="str">
        <f t="shared" si="0"/>
        <v>No saben de ninguno de los dos</v>
      </c>
    </row>
    <row r="13" spans="1:6" x14ac:dyDescent="0.25">
      <c r="A13" s="10" t="s">
        <v>80</v>
      </c>
      <c r="B13" s="10" t="s">
        <v>46</v>
      </c>
      <c r="C13" t="str">
        <f t="shared" si="0"/>
        <v>Saben solo de cambio climático</v>
      </c>
    </row>
    <row r="14" spans="1:6" x14ac:dyDescent="0.25">
      <c r="A14" s="9" t="s">
        <v>80</v>
      </c>
      <c r="B14" s="9" t="s">
        <v>46</v>
      </c>
      <c r="C14" t="str">
        <f t="shared" si="0"/>
        <v>Saben solo de cambio climático</v>
      </c>
    </row>
    <row r="15" spans="1:6" x14ac:dyDescent="0.25">
      <c r="A15" s="10" t="s">
        <v>80</v>
      </c>
      <c r="B15" s="10" t="s">
        <v>80</v>
      </c>
      <c r="C15" t="str">
        <f t="shared" si="0"/>
        <v>Saben de ambos temas</v>
      </c>
    </row>
    <row r="16" spans="1:6" x14ac:dyDescent="0.25">
      <c r="A16" s="9" t="s">
        <v>46</v>
      </c>
      <c r="B16" s="9" t="s">
        <v>46</v>
      </c>
      <c r="C16" t="str">
        <f t="shared" si="0"/>
        <v>No saben de ninguno de los dos</v>
      </c>
    </row>
    <row r="17" spans="1:3" x14ac:dyDescent="0.25">
      <c r="A17" s="10" t="s">
        <v>80</v>
      </c>
      <c r="B17" s="10" t="s">
        <v>80</v>
      </c>
      <c r="C17" t="str">
        <f t="shared" si="0"/>
        <v>Saben de ambos temas</v>
      </c>
    </row>
    <row r="18" spans="1:3" x14ac:dyDescent="0.25">
      <c r="A18" s="9" t="s">
        <v>80</v>
      </c>
      <c r="B18" s="9" t="s">
        <v>46</v>
      </c>
      <c r="C18" t="str">
        <f t="shared" si="0"/>
        <v>Saben solo de cambio climático</v>
      </c>
    </row>
    <row r="19" spans="1:3" x14ac:dyDescent="0.25">
      <c r="A19" s="10" t="s">
        <v>80</v>
      </c>
      <c r="B19" s="10" t="s">
        <v>46</v>
      </c>
      <c r="C19" t="str">
        <f t="shared" si="0"/>
        <v>Saben solo de cambio climático</v>
      </c>
    </row>
    <row r="20" spans="1:3" x14ac:dyDescent="0.25">
      <c r="A20" s="9" t="s">
        <v>80</v>
      </c>
      <c r="B20" s="9" t="s">
        <v>80</v>
      </c>
      <c r="C20" t="str">
        <f t="shared" si="0"/>
        <v>Saben de ambos temas</v>
      </c>
    </row>
    <row r="21" spans="1:3" x14ac:dyDescent="0.25">
      <c r="A21" s="10" t="s">
        <v>80</v>
      </c>
      <c r="B21" s="10" t="s">
        <v>80</v>
      </c>
      <c r="C21" t="str">
        <f t="shared" si="0"/>
        <v>Saben de ambos temas</v>
      </c>
    </row>
    <row r="22" spans="1:3" x14ac:dyDescent="0.25">
      <c r="A22" s="9" t="s">
        <v>46</v>
      </c>
      <c r="B22" s="9" t="s">
        <v>46</v>
      </c>
      <c r="C22" t="str">
        <f t="shared" si="0"/>
        <v>No saben de ninguno de los dos</v>
      </c>
    </row>
    <row r="23" spans="1:3" x14ac:dyDescent="0.25">
      <c r="A23" s="10" t="s">
        <v>80</v>
      </c>
      <c r="B23" s="10" t="s">
        <v>80</v>
      </c>
      <c r="C23" t="str">
        <f t="shared" si="0"/>
        <v>Saben de ambos temas</v>
      </c>
    </row>
    <row r="24" spans="1:3" x14ac:dyDescent="0.25">
      <c r="A24" s="9" t="s">
        <v>80</v>
      </c>
      <c r="B24" s="9" t="s">
        <v>80</v>
      </c>
      <c r="C24" t="str">
        <f t="shared" si="0"/>
        <v>Saben de ambos temas</v>
      </c>
    </row>
    <row r="25" spans="1:3" x14ac:dyDescent="0.25">
      <c r="A25" s="10" t="s">
        <v>80</v>
      </c>
      <c r="B25" s="10" t="s">
        <v>46</v>
      </c>
      <c r="C25" t="str">
        <f t="shared" si="0"/>
        <v>Saben solo de cambio climático</v>
      </c>
    </row>
    <row r="26" spans="1:3" x14ac:dyDescent="0.25">
      <c r="A26" s="9" t="s">
        <v>80</v>
      </c>
      <c r="B26" s="9" t="s">
        <v>46</v>
      </c>
      <c r="C26" t="str">
        <f t="shared" si="0"/>
        <v>Saben solo de cambio climático</v>
      </c>
    </row>
    <row r="27" spans="1:3" x14ac:dyDescent="0.25">
      <c r="A27" s="10" t="s">
        <v>80</v>
      </c>
      <c r="B27" s="10" t="s">
        <v>46</v>
      </c>
      <c r="C27" t="str">
        <f t="shared" si="0"/>
        <v>Saben solo de cambio climático</v>
      </c>
    </row>
    <row r="28" spans="1:3" x14ac:dyDescent="0.25">
      <c r="A28" s="9" t="s">
        <v>46</v>
      </c>
      <c r="B28" s="9" t="s">
        <v>46</v>
      </c>
      <c r="C28" t="str">
        <f t="shared" si="0"/>
        <v>No saben de ninguno de los dos</v>
      </c>
    </row>
    <row r="29" spans="1:3" x14ac:dyDescent="0.25">
      <c r="A29" s="10" t="s">
        <v>80</v>
      </c>
      <c r="B29" s="10" t="s">
        <v>80</v>
      </c>
      <c r="C29" t="str">
        <f t="shared" si="0"/>
        <v>Saben de ambos temas</v>
      </c>
    </row>
    <row r="30" spans="1:3" x14ac:dyDescent="0.25">
      <c r="A30" s="9" t="s">
        <v>80</v>
      </c>
      <c r="B30" s="9" t="s">
        <v>46</v>
      </c>
      <c r="C30" t="str">
        <f t="shared" si="0"/>
        <v>Saben solo de cambio climático</v>
      </c>
    </row>
    <row r="31" spans="1:3" x14ac:dyDescent="0.25">
      <c r="A31" s="10" t="s">
        <v>80</v>
      </c>
      <c r="B31" s="10" t="s">
        <v>80</v>
      </c>
      <c r="C31" t="str">
        <f t="shared" si="0"/>
        <v>Saben de ambos temas</v>
      </c>
    </row>
    <row r="32" spans="1:3" x14ac:dyDescent="0.25">
      <c r="A32" s="9" t="s">
        <v>80</v>
      </c>
      <c r="B32" s="9" t="s">
        <v>46</v>
      </c>
      <c r="C32" t="str">
        <f t="shared" si="0"/>
        <v>Saben solo de cambio climático</v>
      </c>
    </row>
    <row r="33" spans="1:4" x14ac:dyDescent="0.25">
      <c r="A33" s="8" t="s">
        <v>80</v>
      </c>
      <c r="B33" s="8" t="s">
        <v>46</v>
      </c>
      <c r="C33" t="str">
        <f t="shared" si="0"/>
        <v>Saben solo de cambio climático</v>
      </c>
    </row>
    <row r="36" spans="1:4" x14ac:dyDescent="0.25">
      <c r="A36" s="9" t="s">
        <v>44</v>
      </c>
      <c r="C36" s="14" t="s">
        <v>253</v>
      </c>
      <c r="D36" s="15" t="s">
        <v>256</v>
      </c>
    </row>
    <row r="37" spans="1:4" x14ac:dyDescent="0.25">
      <c r="A37" s="10" t="s">
        <v>44</v>
      </c>
      <c r="C37" s="16" t="s">
        <v>46</v>
      </c>
      <c r="D37" s="27">
        <v>0.12903225806451613</v>
      </c>
    </row>
    <row r="38" spans="1:4" x14ac:dyDescent="0.25">
      <c r="A38" s="9" t="s">
        <v>44</v>
      </c>
      <c r="C38" s="17" t="s">
        <v>44</v>
      </c>
      <c r="D38" s="30">
        <v>0.87096774193548387</v>
      </c>
    </row>
    <row r="39" spans="1:4" x14ac:dyDescent="0.25">
      <c r="A39" s="10" t="s">
        <v>44</v>
      </c>
      <c r="C39" s="19" t="s">
        <v>255</v>
      </c>
      <c r="D39" s="33">
        <v>1</v>
      </c>
    </row>
    <row r="40" spans="1:4" x14ac:dyDescent="0.25">
      <c r="A40" s="9" t="s">
        <v>44</v>
      </c>
    </row>
    <row r="41" spans="1:4" x14ac:dyDescent="0.25">
      <c r="A41" s="10" t="s">
        <v>44</v>
      </c>
    </row>
    <row r="42" spans="1:4" x14ac:dyDescent="0.25">
      <c r="A42" s="9" t="s">
        <v>44</v>
      </c>
    </row>
    <row r="43" spans="1:4" x14ac:dyDescent="0.25">
      <c r="A43" s="10" t="s">
        <v>44</v>
      </c>
    </row>
    <row r="44" spans="1:4" x14ac:dyDescent="0.25">
      <c r="A44" s="9" t="s">
        <v>44</v>
      </c>
    </row>
    <row r="45" spans="1:4" x14ac:dyDescent="0.25">
      <c r="A45" s="10" t="s">
        <v>44</v>
      </c>
    </row>
    <row r="46" spans="1:4" x14ac:dyDescent="0.25">
      <c r="A46" s="9" t="s">
        <v>46</v>
      </c>
    </row>
    <row r="47" spans="1:4" x14ac:dyDescent="0.25">
      <c r="A47" s="10" t="s">
        <v>44</v>
      </c>
    </row>
    <row r="48" spans="1:4" x14ac:dyDescent="0.25">
      <c r="A48" s="9" t="s">
        <v>44</v>
      </c>
    </row>
    <row r="49" spans="1:1" x14ac:dyDescent="0.25">
      <c r="A49" s="10" t="s">
        <v>44</v>
      </c>
    </row>
    <row r="50" spans="1:1" x14ac:dyDescent="0.25">
      <c r="A50" s="9" t="s">
        <v>46</v>
      </c>
    </row>
    <row r="51" spans="1:1" x14ac:dyDescent="0.25">
      <c r="A51" s="10" t="s">
        <v>44</v>
      </c>
    </row>
    <row r="52" spans="1:1" x14ac:dyDescent="0.25">
      <c r="A52" s="9" t="s">
        <v>44</v>
      </c>
    </row>
    <row r="53" spans="1:1" x14ac:dyDescent="0.25">
      <c r="A53" s="10" t="s">
        <v>44</v>
      </c>
    </row>
    <row r="54" spans="1:1" x14ac:dyDescent="0.25">
      <c r="A54" s="9" t="s">
        <v>44</v>
      </c>
    </row>
    <row r="55" spans="1:1" x14ac:dyDescent="0.25">
      <c r="A55" s="10" t="s">
        <v>44</v>
      </c>
    </row>
    <row r="56" spans="1:1" x14ac:dyDescent="0.25">
      <c r="A56" s="9" t="s">
        <v>46</v>
      </c>
    </row>
    <row r="57" spans="1:1" x14ac:dyDescent="0.25">
      <c r="A57" s="10" t="s">
        <v>44</v>
      </c>
    </row>
    <row r="58" spans="1:1" x14ac:dyDescent="0.25">
      <c r="A58" s="9" t="s">
        <v>44</v>
      </c>
    </row>
    <row r="59" spans="1:1" x14ac:dyDescent="0.25">
      <c r="A59" s="10" t="s">
        <v>44</v>
      </c>
    </row>
    <row r="60" spans="1:1" x14ac:dyDescent="0.25">
      <c r="A60" s="9" t="s">
        <v>44</v>
      </c>
    </row>
    <row r="61" spans="1:1" x14ac:dyDescent="0.25">
      <c r="A61" s="10" t="s">
        <v>44</v>
      </c>
    </row>
    <row r="62" spans="1:1" x14ac:dyDescent="0.25">
      <c r="A62" s="9" t="s">
        <v>46</v>
      </c>
    </row>
    <row r="63" spans="1:1" x14ac:dyDescent="0.25">
      <c r="A63" s="10" t="s">
        <v>44</v>
      </c>
    </row>
    <row r="64" spans="1:1" x14ac:dyDescent="0.25">
      <c r="A64" s="9" t="s">
        <v>44</v>
      </c>
    </row>
    <row r="65" spans="1:7" x14ac:dyDescent="0.25">
      <c r="A65" s="10" t="s">
        <v>44</v>
      </c>
    </row>
    <row r="66" spans="1:7" x14ac:dyDescent="0.25">
      <c r="A66" s="9" t="s">
        <v>44</v>
      </c>
    </row>
    <row r="67" spans="1:7" x14ac:dyDescent="0.25">
      <c r="A67" s="8" t="s">
        <v>44</v>
      </c>
    </row>
    <row r="73" spans="1:7" x14ac:dyDescent="0.25">
      <c r="A73" s="9" t="s">
        <v>76</v>
      </c>
      <c r="B73" s="9" t="s">
        <v>46</v>
      </c>
      <c r="C73" s="14" t="s">
        <v>266</v>
      </c>
      <c r="D73" s="14" t="s">
        <v>257</v>
      </c>
      <c r="E73" s="12"/>
      <c r="F73" s="12"/>
      <c r="G73" s="13"/>
    </row>
    <row r="74" spans="1:7" x14ac:dyDescent="0.25">
      <c r="A74" s="10" t="s">
        <v>65</v>
      </c>
      <c r="B74" s="10" t="s">
        <v>44</v>
      </c>
      <c r="C74" s="14" t="s">
        <v>253</v>
      </c>
      <c r="D74" s="11" t="s">
        <v>86</v>
      </c>
      <c r="E74" s="21" t="s">
        <v>76</v>
      </c>
      <c r="F74" s="21" t="s">
        <v>65</v>
      </c>
      <c r="G74" s="15" t="s">
        <v>255</v>
      </c>
    </row>
    <row r="75" spans="1:7" x14ac:dyDescent="0.25">
      <c r="A75" s="9" t="s">
        <v>65</v>
      </c>
      <c r="B75" s="9" t="s">
        <v>44</v>
      </c>
      <c r="C75" s="16" t="s">
        <v>46</v>
      </c>
      <c r="D75" s="25">
        <v>3.2258064516129031E-2</v>
      </c>
      <c r="E75" s="26">
        <v>3.2258064516129031E-2</v>
      </c>
      <c r="F75" s="26">
        <v>6.4516129032258063E-2</v>
      </c>
      <c r="G75" s="27">
        <v>0.12903225806451613</v>
      </c>
    </row>
    <row r="76" spans="1:7" x14ac:dyDescent="0.25">
      <c r="A76" s="10" t="s">
        <v>76</v>
      </c>
      <c r="B76" s="10" t="s">
        <v>80</v>
      </c>
      <c r="C76" s="17" t="s">
        <v>44</v>
      </c>
      <c r="D76" s="28">
        <v>0.22580645161290322</v>
      </c>
      <c r="E76" s="29">
        <v>0.12903225806451613</v>
      </c>
      <c r="F76" s="29">
        <v>0.5161290322580645</v>
      </c>
      <c r="G76" s="30">
        <v>0.87096774193548387</v>
      </c>
    </row>
    <row r="77" spans="1:7" ht="26.4" x14ac:dyDescent="0.25">
      <c r="A77" s="9" t="s">
        <v>86</v>
      </c>
      <c r="B77" s="9" t="s">
        <v>44</v>
      </c>
      <c r="C77" s="19" t="s">
        <v>255</v>
      </c>
      <c r="D77" s="31">
        <v>0.25806451612903225</v>
      </c>
      <c r="E77" s="32">
        <v>0.16129032258064516</v>
      </c>
      <c r="F77" s="32">
        <v>0.58064516129032262</v>
      </c>
      <c r="G77" s="33">
        <v>1</v>
      </c>
    </row>
    <row r="78" spans="1:7" x14ac:dyDescent="0.25">
      <c r="A78" s="10" t="s">
        <v>76</v>
      </c>
      <c r="B78" s="10" t="s">
        <v>44</v>
      </c>
    </row>
    <row r="79" spans="1:7" x14ac:dyDescent="0.25">
      <c r="A79" s="9" t="s">
        <v>65</v>
      </c>
      <c r="B79" s="9" t="s">
        <v>44</v>
      </c>
    </row>
    <row r="80" spans="1:7" x14ac:dyDescent="0.25">
      <c r="A80" s="10" t="s">
        <v>65</v>
      </c>
      <c r="B80" s="10" t="s">
        <v>44</v>
      </c>
    </row>
    <row r="81" spans="1:8" x14ac:dyDescent="0.25">
      <c r="A81" s="9" t="s">
        <v>65</v>
      </c>
      <c r="B81" s="9" t="s">
        <v>44</v>
      </c>
    </row>
    <row r="82" spans="1:8" x14ac:dyDescent="0.25">
      <c r="A82" s="10" t="s">
        <v>65</v>
      </c>
      <c r="B82" s="10" t="s">
        <v>44</v>
      </c>
    </row>
    <row r="83" spans="1:8" x14ac:dyDescent="0.25">
      <c r="A83" s="9" t="s">
        <v>76</v>
      </c>
      <c r="B83" s="9" t="s">
        <v>46</v>
      </c>
    </row>
    <row r="84" spans="1:8" x14ac:dyDescent="0.25">
      <c r="A84" s="10" t="s">
        <v>65</v>
      </c>
      <c r="B84" s="10" t="s">
        <v>46</v>
      </c>
    </row>
    <row r="85" spans="1:8" x14ac:dyDescent="0.25">
      <c r="A85" s="9" t="s">
        <v>65</v>
      </c>
      <c r="B85" s="9" t="s">
        <v>46</v>
      </c>
    </row>
    <row r="86" spans="1:8" ht="26.4" x14ac:dyDescent="0.25">
      <c r="A86" s="10" t="s">
        <v>153</v>
      </c>
      <c r="B86" s="10" t="s">
        <v>44</v>
      </c>
    </row>
    <row r="87" spans="1:8" ht="26.4" x14ac:dyDescent="0.25">
      <c r="A87" s="9" t="s">
        <v>153</v>
      </c>
      <c r="B87" s="9" t="s">
        <v>46</v>
      </c>
      <c r="D87" s="46" t="s">
        <v>266</v>
      </c>
      <c r="E87" s="46" t="s">
        <v>282</v>
      </c>
      <c r="F87" s="47"/>
      <c r="G87" s="47"/>
      <c r="H87" s="48"/>
    </row>
    <row r="88" spans="1:8" ht="26.4" x14ac:dyDescent="0.25">
      <c r="A88" s="10" t="s">
        <v>153</v>
      </c>
      <c r="B88" s="10" t="s">
        <v>44</v>
      </c>
      <c r="D88" s="46" t="s">
        <v>283</v>
      </c>
      <c r="E88" s="49" t="s">
        <v>86</v>
      </c>
      <c r="F88" s="50" t="s">
        <v>76</v>
      </c>
      <c r="G88" s="50" t="s">
        <v>65</v>
      </c>
      <c r="H88" s="51" t="s">
        <v>284</v>
      </c>
    </row>
    <row r="89" spans="1:8" ht="26.4" x14ac:dyDescent="0.25">
      <c r="A89" s="9" t="s">
        <v>153</v>
      </c>
      <c r="B89" s="9" t="s">
        <v>46</v>
      </c>
      <c r="D89" s="52" t="s">
        <v>46</v>
      </c>
      <c r="E89" s="53">
        <v>9.6774193548387094E-2</v>
      </c>
      <c r="F89" s="54">
        <v>9.6774193548387094E-2</v>
      </c>
      <c r="G89" s="54">
        <v>0.25806451612903225</v>
      </c>
      <c r="H89" s="55">
        <v>0.45161290322580644</v>
      </c>
    </row>
    <row r="90" spans="1:8" ht="26.4" x14ac:dyDescent="0.25">
      <c r="A90" s="10" t="s">
        <v>86</v>
      </c>
      <c r="B90" s="10" t="s">
        <v>46</v>
      </c>
      <c r="D90" s="56" t="s">
        <v>80</v>
      </c>
      <c r="E90" s="57">
        <v>0</v>
      </c>
      <c r="F90" s="29">
        <v>3.2258064516129031E-2</v>
      </c>
      <c r="G90" s="29">
        <v>0</v>
      </c>
      <c r="H90" s="58">
        <v>3.2258064516129031E-2</v>
      </c>
    </row>
    <row r="91" spans="1:8" ht="26.4" x14ac:dyDescent="0.25">
      <c r="A91" s="9" t="s">
        <v>153</v>
      </c>
      <c r="B91" s="9" t="s">
        <v>44</v>
      </c>
      <c r="D91" s="56" t="s">
        <v>44</v>
      </c>
      <c r="E91" s="57">
        <v>0.16129032258064516</v>
      </c>
      <c r="F91" s="29">
        <v>3.2258064516129031E-2</v>
      </c>
      <c r="G91" s="29">
        <v>0.32258064516129031</v>
      </c>
      <c r="H91" s="58">
        <v>0.5161290322580645</v>
      </c>
    </row>
    <row r="92" spans="1:8" x14ac:dyDescent="0.25">
      <c r="A92" s="10" t="s">
        <v>65</v>
      </c>
      <c r="B92" s="10" t="s">
        <v>44</v>
      </c>
      <c r="D92" s="59" t="s">
        <v>284</v>
      </c>
      <c r="E92" s="60">
        <v>0.25806451612903225</v>
      </c>
      <c r="F92" s="61">
        <v>0.16129032258064516</v>
      </c>
      <c r="G92" s="61">
        <v>0.58064516129032262</v>
      </c>
      <c r="H92" s="62">
        <v>1</v>
      </c>
    </row>
    <row r="93" spans="1:8" x14ac:dyDescent="0.25">
      <c r="A93" s="9" t="s">
        <v>65</v>
      </c>
      <c r="B93" s="9" t="s">
        <v>46</v>
      </c>
    </row>
    <row r="94" spans="1:8" x14ac:dyDescent="0.25">
      <c r="A94" s="10" t="s">
        <v>65</v>
      </c>
      <c r="B94" s="10" t="s">
        <v>44</v>
      </c>
    </row>
    <row r="95" spans="1:8" x14ac:dyDescent="0.25">
      <c r="A95" s="9" t="s">
        <v>65</v>
      </c>
      <c r="B95" s="9" t="s">
        <v>44</v>
      </c>
    </row>
    <row r="96" spans="1:8" x14ac:dyDescent="0.25">
      <c r="A96" s="10" t="s">
        <v>65</v>
      </c>
      <c r="B96" s="10" t="s">
        <v>46</v>
      </c>
    </row>
    <row r="97" spans="1:11" x14ac:dyDescent="0.25">
      <c r="A97" s="9" t="s">
        <v>65</v>
      </c>
      <c r="B97" s="9" t="s">
        <v>46</v>
      </c>
    </row>
    <row r="98" spans="1:11" x14ac:dyDescent="0.25">
      <c r="A98" s="10" t="s">
        <v>76</v>
      </c>
      <c r="B98" s="10" t="s">
        <v>46</v>
      </c>
    </row>
    <row r="99" spans="1:11" x14ac:dyDescent="0.25">
      <c r="A99" s="9" t="s">
        <v>65</v>
      </c>
      <c r="B99" s="9" t="s">
        <v>46</v>
      </c>
    </row>
    <row r="100" spans="1:11" x14ac:dyDescent="0.25">
      <c r="A100" s="10" t="s">
        <v>65</v>
      </c>
      <c r="B100" s="10" t="s">
        <v>44</v>
      </c>
    </row>
    <row r="101" spans="1:11" x14ac:dyDescent="0.25">
      <c r="A101" s="9" t="s">
        <v>65</v>
      </c>
      <c r="B101" s="9" t="s">
        <v>46</v>
      </c>
    </row>
    <row r="102" spans="1:11" ht="26.4" x14ac:dyDescent="0.25">
      <c r="A102" s="10" t="s">
        <v>153</v>
      </c>
      <c r="B102" s="10" t="s">
        <v>44</v>
      </c>
    </row>
    <row r="103" spans="1:11" x14ac:dyDescent="0.25">
      <c r="A103" s="9" t="s">
        <v>76</v>
      </c>
      <c r="B103" s="9" t="s">
        <v>46</v>
      </c>
    </row>
    <row r="104" spans="1:11" x14ac:dyDescent="0.25">
      <c r="A104" s="8" t="s">
        <v>65</v>
      </c>
      <c r="B104" s="8" t="s">
        <v>46</v>
      </c>
    </row>
    <row r="110" spans="1:11" ht="39.6" x14ac:dyDescent="0.25">
      <c r="B110" s="9" t="s">
        <v>42</v>
      </c>
      <c r="C110" s="9" t="s">
        <v>47</v>
      </c>
    </row>
    <row r="111" spans="1:11" ht="39.6" x14ac:dyDescent="0.25">
      <c r="B111" s="10" t="s">
        <v>57</v>
      </c>
      <c r="C111" s="10" t="s">
        <v>47</v>
      </c>
      <c r="F111" s="14" t="s">
        <v>267</v>
      </c>
      <c r="G111" s="14" t="s">
        <v>257</v>
      </c>
      <c r="H111" s="12"/>
      <c r="I111" s="12"/>
      <c r="J111" s="12"/>
      <c r="K111" s="13"/>
    </row>
    <row r="112" spans="1:11" ht="26.4" x14ac:dyDescent="0.25">
      <c r="B112" s="9" t="s">
        <v>57</v>
      </c>
      <c r="C112" s="9" t="s">
        <v>69</v>
      </c>
      <c r="F112" s="14" t="s">
        <v>253</v>
      </c>
      <c r="G112" s="11" t="s">
        <v>79</v>
      </c>
      <c r="H112" s="21" t="s">
        <v>47</v>
      </c>
      <c r="I112" s="21" t="s">
        <v>155</v>
      </c>
      <c r="J112" s="21" t="s">
        <v>69</v>
      </c>
      <c r="K112" s="15" t="s">
        <v>255</v>
      </c>
    </row>
    <row r="113" spans="2:11" ht="39.6" x14ac:dyDescent="0.25">
      <c r="B113" s="10" t="s">
        <v>57</v>
      </c>
      <c r="C113" s="10" t="s">
        <v>79</v>
      </c>
      <c r="F113" s="16" t="s">
        <v>57</v>
      </c>
      <c r="G113" s="25">
        <v>0.35483870967741937</v>
      </c>
      <c r="H113" s="26">
        <v>0.12903225806451613</v>
      </c>
      <c r="I113" s="26">
        <v>3.2258064516129031E-2</v>
      </c>
      <c r="J113" s="26">
        <v>0.12903225806451613</v>
      </c>
      <c r="K113" s="27">
        <v>0.64516129032258063</v>
      </c>
    </row>
    <row r="114" spans="2:11" ht="39.6" x14ac:dyDescent="0.25">
      <c r="B114" s="9" t="s">
        <v>57</v>
      </c>
      <c r="C114" s="9" t="s">
        <v>79</v>
      </c>
      <c r="F114" s="17" t="s">
        <v>42</v>
      </c>
      <c r="G114" s="28">
        <v>0</v>
      </c>
      <c r="H114" s="29">
        <v>6.4516129032258063E-2</v>
      </c>
      <c r="I114" s="29">
        <v>0</v>
      </c>
      <c r="J114" s="29">
        <v>6.4516129032258063E-2</v>
      </c>
      <c r="K114" s="30">
        <v>0.12903225806451613</v>
      </c>
    </row>
    <row r="115" spans="2:11" ht="39.6" x14ac:dyDescent="0.25">
      <c r="B115" s="10" t="s">
        <v>57</v>
      </c>
      <c r="C115" s="10" t="s">
        <v>79</v>
      </c>
      <c r="F115" s="17" t="s">
        <v>130</v>
      </c>
      <c r="G115" s="28">
        <v>0.12903225806451613</v>
      </c>
      <c r="H115" s="29">
        <v>0</v>
      </c>
      <c r="I115" s="29">
        <v>3.2258064516129031E-2</v>
      </c>
      <c r="J115" s="29">
        <v>3.2258064516129031E-2</v>
      </c>
      <c r="K115" s="30">
        <v>0.19354838709677419</v>
      </c>
    </row>
    <row r="116" spans="2:11" ht="26.4" x14ac:dyDescent="0.25">
      <c r="B116" s="9" t="s">
        <v>57</v>
      </c>
      <c r="C116" s="9" t="s">
        <v>69</v>
      </c>
      <c r="F116" s="17" t="s">
        <v>174</v>
      </c>
      <c r="G116" s="28">
        <v>0</v>
      </c>
      <c r="H116" s="29">
        <v>0</v>
      </c>
      <c r="I116" s="29">
        <v>0</v>
      </c>
      <c r="J116" s="29">
        <v>3.2258064516129031E-2</v>
      </c>
      <c r="K116" s="30">
        <v>3.2258064516129031E-2</v>
      </c>
    </row>
    <row r="117" spans="2:11" ht="39.6" x14ac:dyDescent="0.25">
      <c r="B117" s="10" t="s">
        <v>57</v>
      </c>
      <c r="C117" s="10" t="s">
        <v>79</v>
      </c>
      <c r="F117" s="19" t="s">
        <v>255</v>
      </c>
      <c r="G117" s="31">
        <v>0.4838709677419355</v>
      </c>
      <c r="H117" s="32">
        <v>0.19354838709677419</v>
      </c>
      <c r="I117" s="32">
        <v>6.4516129032258063E-2</v>
      </c>
      <c r="J117" s="32">
        <v>0.25806451612903225</v>
      </c>
      <c r="K117" s="33">
        <v>1</v>
      </c>
    </row>
    <row r="118" spans="2:11" ht="39.6" x14ac:dyDescent="0.25">
      <c r="B118" s="9" t="s">
        <v>57</v>
      </c>
      <c r="C118" s="9" t="s">
        <v>79</v>
      </c>
    </row>
    <row r="119" spans="2:11" ht="39.6" x14ac:dyDescent="0.25">
      <c r="B119" s="10" t="s">
        <v>130</v>
      </c>
      <c r="C119" s="10" t="s">
        <v>79</v>
      </c>
    </row>
    <row r="120" spans="2:11" ht="39.6" x14ac:dyDescent="0.25">
      <c r="B120" s="9" t="s">
        <v>42</v>
      </c>
      <c r="C120" s="9" t="s">
        <v>47</v>
      </c>
    </row>
    <row r="121" spans="2:11" ht="39.6" x14ac:dyDescent="0.25">
      <c r="B121" s="10" t="s">
        <v>57</v>
      </c>
      <c r="C121" s="10" t="s">
        <v>79</v>
      </c>
    </row>
    <row r="122" spans="2:11" ht="39.6" x14ac:dyDescent="0.25">
      <c r="B122" s="9" t="s">
        <v>57</v>
      </c>
      <c r="C122" s="9" t="s">
        <v>79</v>
      </c>
    </row>
    <row r="123" spans="2:11" ht="26.4" x14ac:dyDescent="0.25">
      <c r="B123" s="10" t="s">
        <v>130</v>
      </c>
      <c r="C123" s="10" t="s">
        <v>155</v>
      </c>
    </row>
    <row r="124" spans="2:11" ht="26.4" x14ac:dyDescent="0.25">
      <c r="B124" s="9" t="s">
        <v>42</v>
      </c>
      <c r="C124" s="9" t="s">
        <v>69</v>
      </c>
    </row>
    <row r="125" spans="2:11" ht="39.6" x14ac:dyDescent="0.25">
      <c r="B125" s="10" t="s">
        <v>130</v>
      </c>
      <c r="C125" s="10" t="s">
        <v>79</v>
      </c>
    </row>
    <row r="126" spans="2:11" ht="26.4" x14ac:dyDescent="0.25">
      <c r="B126" s="9" t="s">
        <v>57</v>
      </c>
      <c r="C126" s="9" t="s">
        <v>69</v>
      </c>
    </row>
    <row r="127" spans="2:11" ht="26.4" x14ac:dyDescent="0.25">
      <c r="B127" s="10" t="s">
        <v>42</v>
      </c>
      <c r="C127" s="10" t="s">
        <v>69</v>
      </c>
    </row>
    <row r="128" spans="2:11" ht="26.4" x14ac:dyDescent="0.25">
      <c r="B128" s="9" t="s">
        <v>174</v>
      </c>
      <c r="C128" s="9" t="s">
        <v>69</v>
      </c>
    </row>
    <row r="129" spans="2:3" ht="26.4" x14ac:dyDescent="0.25">
      <c r="B129" s="10" t="s">
        <v>57</v>
      </c>
      <c r="C129" s="10" t="s">
        <v>69</v>
      </c>
    </row>
    <row r="130" spans="2:3" ht="26.4" x14ac:dyDescent="0.25">
      <c r="B130" s="9" t="s">
        <v>130</v>
      </c>
      <c r="C130" s="9" t="s">
        <v>69</v>
      </c>
    </row>
    <row r="131" spans="2:3" ht="39.6" x14ac:dyDescent="0.25">
      <c r="B131" s="10" t="s">
        <v>57</v>
      </c>
      <c r="C131" s="10" t="s">
        <v>79</v>
      </c>
    </row>
    <row r="132" spans="2:3" ht="39.6" x14ac:dyDescent="0.25">
      <c r="B132" s="9" t="s">
        <v>57</v>
      </c>
      <c r="C132" s="9" t="s">
        <v>47</v>
      </c>
    </row>
    <row r="133" spans="2:3" ht="39.6" x14ac:dyDescent="0.25">
      <c r="B133" s="10" t="s">
        <v>57</v>
      </c>
      <c r="C133" s="10" t="s">
        <v>79</v>
      </c>
    </row>
    <row r="134" spans="2:3" ht="39.6" x14ac:dyDescent="0.25">
      <c r="B134" s="9" t="s">
        <v>57</v>
      </c>
      <c r="C134" s="9" t="s">
        <v>47</v>
      </c>
    </row>
    <row r="135" spans="2:3" ht="39.6" x14ac:dyDescent="0.25">
      <c r="B135" s="10" t="s">
        <v>130</v>
      </c>
      <c r="C135" s="10" t="s">
        <v>79</v>
      </c>
    </row>
    <row r="136" spans="2:3" ht="39.6" x14ac:dyDescent="0.25">
      <c r="B136" s="9" t="s">
        <v>57</v>
      </c>
      <c r="C136" s="9" t="s">
        <v>79</v>
      </c>
    </row>
    <row r="137" spans="2:3" ht="39.6" x14ac:dyDescent="0.25">
      <c r="B137" s="10" t="s">
        <v>57</v>
      </c>
      <c r="C137" s="10" t="s">
        <v>79</v>
      </c>
    </row>
    <row r="138" spans="2:3" ht="26.4" x14ac:dyDescent="0.25">
      <c r="B138" s="9" t="s">
        <v>57</v>
      </c>
      <c r="C138" s="9" t="s">
        <v>155</v>
      </c>
    </row>
    <row r="139" spans="2:3" ht="39.6" x14ac:dyDescent="0.25">
      <c r="B139" s="10" t="s">
        <v>130</v>
      </c>
      <c r="C139" s="10" t="s">
        <v>79</v>
      </c>
    </row>
    <row r="140" spans="2:3" ht="39.6" x14ac:dyDescent="0.25">
      <c r="B140" s="9" t="s">
        <v>42</v>
      </c>
      <c r="C140" s="9" t="s">
        <v>47</v>
      </c>
    </row>
    <row r="141" spans="2:3" ht="39.6" x14ac:dyDescent="0.25">
      <c r="B141" s="8" t="s">
        <v>57</v>
      </c>
      <c r="C141" s="8" t="s">
        <v>47</v>
      </c>
    </row>
    <row r="144" spans="2:3" ht="26.4" x14ac:dyDescent="0.25">
      <c r="B144" s="9" t="s">
        <v>42</v>
      </c>
      <c r="C144" s="9" t="s">
        <v>48</v>
      </c>
    </row>
    <row r="145" spans="2:11" ht="26.4" x14ac:dyDescent="0.25">
      <c r="B145" s="10" t="s">
        <v>57</v>
      </c>
      <c r="C145" s="10" t="s">
        <v>61</v>
      </c>
    </row>
    <row r="146" spans="2:11" ht="26.4" x14ac:dyDescent="0.25">
      <c r="B146" s="9" t="s">
        <v>57</v>
      </c>
      <c r="C146" s="9" t="s">
        <v>61</v>
      </c>
    </row>
    <row r="147" spans="2:11" ht="39.6" x14ac:dyDescent="0.25">
      <c r="B147" s="10" t="s">
        <v>57</v>
      </c>
      <c r="C147" s="10" t="s">
        <v>82</v>
      </c>
    </row>
    <row r="148" spans="2:11" ht="26.4" x14ac:dyDescent="0.25">
      <c r="B148" s="9" t="s">
        <v>57</v>
      </c>
      <c r="C148" s="9" t="s">
        <v>61</v>
      </c>
    </row>
    <row r="149" spans="2:11" ht="26.4" x14ac:dyDescent="0.25">
      <c r="B149" s="10" t="s">
        <v>57</v>
      </c>
      <c r="C149" s="10" t="s">
        <v>99</v>
      </c>
      <c r="F149" s="14" t="s">
        <v>268</v>
      </c>
      <c r="G149" s="14" t="s">
        <v>257</v>
      </c>
      <c r="H149" s="12"/>
      <c r="I149" s="12"/>
      <c r="J149" s="12"/>
      <c r="K149" s="13"/>
    </row>
    <row r="150" spans="2:11" ht="26.4" x14ac:dyDescent="0.25">
      <c r="B150" s="9" t="s">
        <v>57</v>
      </c>
      <c r="C150" s="9" t="s">
        <v>99</v>
      </c>
      <c r="F150" s="14" t="s">
        <v>253</v>
      </c>
      <c r="G150" s="11" t="s">
        <v>61</v>
      </c>
      <c r="H150" s="21" t="s">
        <v>48</v>
      </c>
      <c r="I150" s="21" t="s">
        <v>82</v>
      </c>
      <c r="J150" s="21" t="s">
        <v>99</v>
      </c>
      <c r="K150" s="15" t="s">
        <v>255</v>
      </c>
    </row>
    <row r="151" spans="2:11" ht="26.4" x14ac:dyDescent="0.25">
      <c r="B151" s="10" t="s">
        <v>57</v>
      </c>
      <c r="C151" s="10" t="s">
        <v>61</v>
      </c>
      <c r="F151" s="16" t="s">
        <v>57</v>
      </c>
      <c r="G151" s="25">
        <v>0.35483870967741937</v>
      </c>
      <c r="H151" s="26">
        <v>3.2258064516129031E-2</v>
      </c>
      <c r="I151" s="26">
        <v>9.6774193548387094E-2</v>
      </c>
      <c r="J151" s="26">
        <v>0.16129032258064516</v>
      </c>
      <c r="K151" s="27">
        <v>0.64516129032258063</v>
      </c>
    </row>
    <row r="152" spans="2:11" ht="26.4" x14ac:dyDescent="0.25">
      <c r="B152" s="9" t="s">
        <v>57</v>
      </c>
      <c r="C152" s="9" t="s">
        <v>99</v>
      </c>
      <c r="F152" s="17" t="s">
        <v>42</v>
      </c>
      <c r="G152" s="28">
        <v>6.4516129032258063E-2</v>
      </c>
      <c r="H152" s="29">
        <v>0</v>
      </c>
      <c r="I152" s="29">
        <v>0</v>
      </c>
      <c r="J152" s="29">
        <v>6.4516129032258063E-2</v>
      </c>
      <c r="K152" s="30">
        <v>0.12903225806451613</v>
      </c>
    </row>
    <row r="153" spans="2:11" ht="26.4" x14ac:dyDescent="0.25">
      <c r="B153" s="10" t="s">
        <v>130</v>
      </c>
      <c r="C153" s="10" t="s">
        <v>61</v>
      </c>
      <c r="F153" s="17" t="s">
        <v>130</v>
      </c>
      <c r="G153" s="28">
        <v>0.12903225806451613</v>
      </c>
      <c r="H153" s="29">
        <v>0</v>
      </c>
      <c r="I153" s="29">
        <v>3.2258064516129031E-2</v>
      </c>
      <c r="J153" s="29">
        <v>3.2258064516129031E-2</v>
      </c>
      <c r="K153" s="30">
        <v>0.19354838709677419</v>
      </c>
    </row>
    <row r="154" spans="2:11" ht="26.4" x14ac:dyDescent="0.25">
      <c r="B154" s="9" t="s">
        <v>42</v>
      </c>
      <c r="C154" s="9" t="s">
        <v>61</v>
      </c>
      <c r="F154" s="17" t="s">
        <v>174</v>
      </c>
      <c r="G154" s="28">
        <v>3.2258064516129031E-2</v>
      </c>
      <c r="H154" s="29">
        <v>0</v>
      </c>
      <c r="I154" s="29">
        <v>0</v>
      </c>
      <c r="J154" s="29">
        <v>0</v>
      </c>
      <c r="K154" s="30">
        <v>3.2258064516129031E-2</v>
      </c>
    </row>
    <row r="155" spans="2:11" ht="26.4" x14ac:dyDescent="0.25">
      <c r="B155" s="10" t="s">
        <v>57</v>
      </c>
      <c r="C155" s="10" t="s">
        <v>99</v>
      </c>
      <c r="F155" s="19" t="s">
        <v>255</v>
      </c>
      <c r="G155" s="31">
        <v>0.58064516129032262</v>
      </c>
      <c r="H155" s="32">
        <v>3.2258064516129031E-2</v>
      </c>
      <c r="I155" s="32">
        <v>0.12903225806451613</v>
      </c>
      <c r="J155" s="32">
        <v>0.25806451612903225</v>
      </c>
      <c r="K155" s="33">
        <v>1</v>
      </c>
    </row>
    <row r="156" spans="2:11" ht="26.4" x14ac:dyDescent="0.25">
      <c r="B156" s="9" t="s">
        <v>57</v>
      </c>
      <c r="C156" s="9" t="s">
        <v>61</v>
      </c>
    </row>
    <row r="157" spans="2:11" ht="26.4" x14ac:dyDescent="0.25">
      <c r="B157" s="10" t="s">
        <v>130</v>
      </c>
      <c r="C157" s="10" t="s">
        <v>61</v>
      </c>
    </row>
    <row r="158" spans="2:11" ht="26.4" x14ac:dyDescent="0.25">
      <c r="B158" s="9" t="s">
        <v>42</v>
      </c>
      <c r="C158" s="9" t="s">
        <v>99</v>
      </c>
    </row>
    <row r="159" spans="2:11" ht="26.4" x14ac:dyDescent="0.25">
      <c r="B159" s="10" t="s">
        <v>130</v>
      </c>
      <c r="C159" s="10" t="s">
        <v>61</v>
      </c>
    </row>
    <row r="160" spans="2:11" ht="39.6" x14ac:dyDescent="0.25">
      <c r="B160" s="9" t="s">
        <v>57</v>
      </c>
      <c r="C160" s="9" t="s">
        <v>82</v>
      </c>
    </row>
    <row r="161" spans="2:3" ht="26.4" x14ac:dyDescent="0.25">
      <c r="B161" s="10" t="s">
        <v>42</v>
      </c>
      <c r="C161" s="10" t="s">
        <v>99</v>
      </c>
    </row>
    <row r="162" spans="2:3" ht="26.4" x14ac:dyDescent="0.25">
      <c r="B162" s="9" t="s">
        <v>174</v>
      </c>
      <c r="C162" s="9" t="s">
        <v>61</v>
      </c>
    </row>
    <row r="163" spans="2:3" ht="26.4" x14ac:dyDescent="0.25">
      <c r="B163" s="10" t="s">
        <v>57</v>
      </c>
      <c r="C163" s="10" t="s">
        <v>61</v>
      </c>
    </row>
    <row r="164" spans="2:3" ht="26.4" x14ac:dyDescent="0.25">
      <c r="B164" s="9" t="s">
        <v>130</v>
      </c>
      <c r="C164" s="9" t="s">
        <v>61</v>
      </c>
    </row>
    <row r="165" spans="2:3" ht="26.4" x14ac:dyDescent="0.25">
      <c r="B165" s="10" t="s">
        <v>57</v>
      </c>
      <c r="C165" s="10" t="s">
        <v>61</v>
      </c>
    </row>
    <row r="166" spans="2:3" ht="26.4" x14ac:dyDescent="0.25">
      <c r="B166" s="9" t="s">
        <v>57</v>
      </c>
      <c r="C166" s="9" t="s">
        <v>48</v>
      </c>
    </row>
    <row r="167" spans="2:3" ht="26.4" x14ac:dyDescent="0.25">
      <c r="B167" s="10" t="s">
        <v>57</v>
      </c>
      <c r="C167" s="10" t="s">
        <v>61</v>
      </c>
    </row>
    <row r="168" spans="2:3" ht="26.4" x14ac:dyDescent="0.25">
      <c r="B168" s="9" t="s">
        <v>57</v>
      </c>
      <c r="C168" s="9" t="s">
        <v>99</v>
      </c>
    </row>
    <row r="169" spans="2:3" ht="26.4" x14ac:dyDescent="0.25">
      <c r="B169" s="10" t="s">
        <v>130</v>
      </c>
      <c r="C169" s="10" t="s">
        <v>99</v>
      </c>
    </row>
    <row r="170" spans="2:3" ht="39.6" x14ac:dyDescent="0.25">
      <c r="B170" s="9" t="s">
        <v>57</v>
      </c>
      <c r="C170" s="9" t="s">
        <v>82</v>
      </c>
    </row>
    <row r="171" spans="2:3" ht="26.4" x14ac:dyDescent="0.25">
      <c r="B171" s="10" t="s">
        <v>57</v>
      </c>
      <c r="C171" s="10" t="s">
        <v>61</v>
      </c>
    </row>
    <row r="172" spans="2:3" ht="26.4" x14ac:dyDescent="0.25">
      <c r="B172" s="9" t="s">
        <v>57</v>
      </c>
      <c r="C172" s="9" t="s">
        <v>61</v>
      </c>
    </row>
    <row r="173" spans="2:3" ht="39.6" x14ac:dyDescent="0.25">
      <c r="B173" s="10" t="s">
        <v>130</v>
      </c>
      <c r="C173" s="10" t="s">
        <v>82</v>
      </c>
    </row>
    <row r="174" spans="2:3" ht="26.4" x14ac:dyDescent="0.25">
      <c r="B174" s="9" t="s">
        <v>42</v>
      </c>
      <c r="C174" s="9" t="s">
        <v>61</v>
      </c>
    </row>
    <row r="175" spans="2:3" ht="26.4" x14ac:dyDescent="0.25">
      <c r="B175" s="8" t="s">
        <v>57</v>
      </c>
      <c r="C175" s="8" t="s">
        <v>61</v>
      </c>
    </row>
    <row r="179" spans="1:7" x14ac:dyDescent="0.25">
      <c r="B179" s="14" t="s">
        <v>268</v>
      </c>
      <c r="C179" s="14" t="s">
        <v>257</v>
      </c>
      <c r="D179" s="12"/>
      <c r="E179" s="12"/>
      <c r="F179" s="12"/>
      <c r="G179" s="13"/>
    </row>
    <row r="180" spans="1:7" x14ac:dyDescent="0.25">
      <c r="B180" s="14" t="s">
        <v>253</v>
      </c>
      <c r="C180" s="11" t="s">
        <v>61</v>
      </c>
      <c r="D180" s="21" t="s">
        <v>48</v>
      </c>
      <c r="E180" s="21" t="s">
        <v>82</v>
      </c>
      <c r="F180" s="21" t="s">
        <v>99</v>
      </c>
      <c r="G180" s="15" t="s">
        <v>255</v>
      </c>
    </row>
    <row r="181" spans="1:7" x14ac:dyDescent="0.25">
      <c r="B181" s="16" t="s">
        <v>57</v>
      </c>
      <c r="C181" s="25">
        <v>0.35483870967741937</v>
      </c>
      <c r="D181" s="26">
        <v>3.2258064516129031E-2</v>
      </c>
      <c r="E181" s="26">
        <v>9.6774193548387094E-2</v>
      </c>
      <c r="F181" s="26">
        <v>0.16129032258064516</v>
      </c>
      <c r="G181" s="27">
        <v>0.64516129032258063</v>
      </c>
    </row>
    <row r="182" spans="1:7" x14ac:dyDescent="0.25">
      <c r="B182" s="17" t="s">
        <v>42</v>
      </c>
      <c r="C182" s="28">
        <v>6.4516129032258063E-2</v>
      </c>
      <c r="D182" s="29">
        <v>0</v>
      </c>
      <c r="E182" s="29">
        <v>0</v>
      </c>
      <c r="F182" s="29">
        <v>6.4516129032258063E-2</v>
      </c>
      <c r="G182" s="30">
        <v>0.12903225806451613</v>
      </c>
    </row>
    <row r="183" spans="1:7" x14ac:dyDescent="0.25">
      <c r="B183" s="17" t="s">
        <v>130</v>
      </c>
      <c r="C183" s="28">
        <v>0.12903225806451613</v>
      </c>
      <c r="D183" s="29">
        <v>0</v>
      </c>
      <c r="E183" s="29">
        <v>3.2258064516129031E-2</v>
      </c>
      <c r="F183" s="29">
        <v>3.2258064516129031E-2</v>
      </c>
      <c r="G183" s="30">
        <v>0.19354838709677419</v>
      </c>
    </row>
    <row r="184" spans="1:7" x14ac:dyDescent="0.25">
      <c r="B184" s="17" t="s">
        <v>174</v>
      </c>
      <c r="C184" s="28">
        <v>3.2258064516129031E-2</v>
      </c>
      <c r="D184" s="29">
        <v>0</v>
      </c>
      <c r="E184" s="29">
        <v>0</v>
      </c>
      <c r="F184" s="29">
        <v>0</v>
      </c>
      <c r="G184" s="30">
        <v>3.2258064516129031E-2</v>
      </c>
    </row>
    <row r="185" spans="1:7" x14ac:dyDescent="0.25">
      <c r="B185" s="19" t="s">
        <v>255</v>
      </c>
      <c r="C185" s="31">
        <v>0.58064516129032262</v>
      </c>
      <c r="D185" s="32">
        <v>3.2258064516129031E-2</v>
      </c>
      <c r="E185" s="32">
        <v>0.12903225806451613</v>
      </c>
      <c r="F185" s="32">
        <v>0.25806451612903225</v>
      </c>
      <c r="G185" s="33">
        <v>1</v>
      </c>
    </row>
    <row r="189" spans="1:7" x14ac:dyDescent="0.25">
      <c r="A189" s="9" t="s">
        <v>46</v>
      </c>
      <c r="C189" s="14" t="s">
        <v>253</v>
      </c>
      <c r="D189" s="15" t="s">
        <v>261</v>
      </c>
    </row>
    <row r="190" spans="1:7" x14ac:dyDescent="0.25">
      <c r="A190" s="10" t="s">
        <v>46</v>
      </c>
      <c r="C190" s="16" t="s">
        <v>46</v>
      </c>
      <c r="D190" s="27">
        <v>0.80645161290322576</v>
      </c>
    </row>
    <row r="191" spans="1:7" x14ac:dyDescent="0.25">
      <c r="A191" s="9" t="s">
        <v>46</v>
      </c>
      <c r="C191" s="17" t="s">
        <v>44</v>
      </c>
      <c r="D191" s="30">
        <v>0.19354838709677419</v>
      </c>
    </row>
    <row r="192" spans="1:7" x14ac:dyDescent="0.25">
      <c r="A192" s="10" t="s">
        <v>46</v>
      </c>
      <c r="C192" s="19" t="s">
        <v>255</v>
      </c>
      <c r="D192" s="33">
        <v>1</v>
      </c>
    </row>
    <row r="193" spans="1:1" x14ac:dyDescent="0.25">
      <c r="A193" s="9" t="s">
        <v>46</v>
      </c>
    </row>
    <row r="194" spans="1:1" x14ac:dyDescent="0.25">
      <c r="A194" s="10" t="s">
        <v>46</v>
      </c>
    </row>
    <row r="195" spans="1:1" x14ac:dyDescent="0.25">
      <c r="A195" s="9" t="s">
        <v>46</v>
      </c>
    </row>
    <row r="196" spans="1:1" x14ac:dyDescent="0.25">
      <c r="A196" s="10" t="s">
        <v>46</v>
      </c>
    </row>
    <row r="197" spans="1:1" x14ac:dyDescent="0.25">
      <c r="A197" s="9" t="s">
        <v>46</v>
      </c>
    </row>
    <row r="198" spans="1:1" x14ac:dyDescent="0.25">
      <c r="A198" s="10" t="s">
        <v>46</v>
      </c>
    </row>
    <row r="199" spans="1:1" x14ac:dyDescent="0.25">
      <c r="A199" s="9" t="s">
        <v>46</v>
      </c>
    </row>
    <row r="200" spans="1:1" x14ac:dyDescent="0.25">
      <c r="A200" s="10" t="s">
        <v>46</v>
      </c>
    </row>
    <row r="201" spans="1:1" x14ac:dyDescent="0.25">
      <c r="A201" s="9" t="s">
        <v>46</v>
      </c>
    </row>
    <row r="202" spans="1:1" x14ac:dyDescent="0.25">
      <c r="A202" s="10" t="s">
        <v>46</v>
      </c>
    </row>
    <row r="203" spans="1:1" x14ac:dyDescent="0.25">
      <c r="A203" s="9" t="s">
        <v>46</v>
      </c>
    </row>
    <row r="204" spans="1:1" x14ac:dyDescent="0.25">
      <c r="A204" s="10" t="s">
        <v>46</v>
      </c>
    </row>
    <row r="205" spans="1:1" x14ac:dyDescent="0.25">
      <c r="A205" s="9" t="s">
        <v>44</v>
      </c>
    </row>
    <row r="206" spans="1:1" x14ac:dyDescent="0.25">
      <c r="A206" s="10" t="s">
        <v>46</v>
      </c>
    </row>
    <row r="207" spans="1:1" x14ac:dyDescent="0.25">
      <c r="A207" s="9" t="s">
        <v>44</v>
      </c>
    </row>
    <row r="208" spans="1:1" x14ac:dyDescent="0.25">
      <c r="A208" s="10" t="s">
        <v>46</v>
      </c>
    </row>
    <row r="209" spans="1:7" x14ac:dyDescent="0.25">
      <c r="A209" s="9" t="s">
        <v>46</v>
      </c>
    </row>
    <row r="210" spans="1:7" x14ac:dyDescent="0.25">
      <c r="A210" s="10" t="s">
        <v>46</v>
      </c>
    </row>
    <row r="211" spans="1:7" x14ac:dyDescent="0.25">
      <c r="A211" s="9" t="s">
        <v>46</v>
      </c>
    </row>
    <row r="212" spans="1:7" x14ac:dyDescent="0.25">
      <c r="A212" s="10" t="s">
        <v>44</v>
      </c>
    </row>
    <row r="213" spans="1:7" x14ac:dyDescent="0.25">
      <c r="A213" s="9" t="s">
        <v>46</v>
      </c>
    </row>
    <row r="214" spans="1:7" x14ac:dyDescent="0.25">
      <c r="A214" s="10" t="s">
        <v>44</v>
      </c>
    </row>
    <row r="215" spans="1:7" x14ac:dyDescent="0.25">
      <c r="A215" s="9" t="s">
        <v>46</v>
      </c>
    </row>
    <row r="216" spans="1:7" x14ac:dyDescent="0.25">
      <c r="A216" s="10" t="s">
        <v>46</v>
      </c>
    </row>
    <row r="217" spans="1:7" x14ac:dyDescent="0.25">
      <c r="A217" s="9" t="s">
        <v>46</v>
      </c>
    </row>
    <row r="218" spans="1:7" x14ac:dyDescent="0.25">
      <c r="A218" s="10" t="s">
        <v>46</v>
      </c>
    </row>
    <row r="219" spans="1:7" x14ac:dyDescent="0.25">
      <c r="A219" s="9" t="s">
        <v>44</v>
      </c>
    </row>
    <row r="220" spans="1:7" x14ac:dyDescent="0.25">
      <c r="A220" s="8" t="s">
        <v>44</v>
      </c>
    </row>
    <row r="223" spans="1:7" x14ac:dyDescent="0.25">
      <c r="A223" s="9" t="s">
        <v>42</v>
      </c>
      <c r="B223" s="9" t="s">
        <v>46</v>
      </c>
      <c r="D223" s="14" t="s">
        <v>259</v>
      </c>
      <c r="E223" s="14" t="s">
        <v>257</v>
      </c>
      <c r="F223" s="12"/>
      <c r="G223" s="13"/>
    </row>
    <row r="224" spans="1:7" x14ac:dyDescent="0.25">
      <c r="A224" s="10" t="s">
        <v>57</v>
      </c>
      <c r="B224" s="10" t="s">
        <v>46</v>
      </c>
      <c r="D224" s="14" t="s">
        <v>253</v>
      </c>
      <c r="E224" s="11" t="s">
        <v>46</v>
      </c>
      <c r="F224" s="21" t="s">
        <v>179</v>
      </c>
      <c r="G224" s="15" t="s">
        <v>255</v>
      </c>
    </row>
    <row r="225" spans="1:7" x14ac:dyDescent="0.25">
      <c r="A225" s="9" t="s">
        <v>57</v>
      </c>
      <c r="B225" s="9" t="s">
        <v>46</v>
      </c>
      <c r="D225" s="16" t="s">
        <v>57</v>
      </c>
      <c r="E225" s="25">
        <v>0.64516129032258063</v>
      </c>
      <c r="F225" s="26">
        <v>0</v>
      </c>
      <c r="G225" s="27">
        <v>0.64516129032258063</v>
      </c>
    </row>
    <row r="226" spans="1:7" x14ac:dyDescent="0.25">
      <c r="A226" s="10" t="s">
        <v>57</v>
      </c>
      <c r="B226" s="10" t="s">
        <v>46</v>
      </c>
      <c r="D226" s="17" t="s">
        <v>42</v>
      </c>
      <c r="E226" s="28">
        <v>0.12903225806451613</v>
      </c>
      <c r="F226" s="29">
        <v>0</v>
      </c>
      <c r="G226" s="30">
        <v>0.12903225806451613</v>
      </c>
    </row>
    <row r="227" spans="1:7" x14ac:dyDescent="0.25">
      <c r="A227" s="9" t="s">
        <v>57</v>
      </c>
      <c r="B227" s="9" t="s">
        <v>46</v>
      </c>
      <c r="D227" s="17" t="s">
        <v>130</v>
      </c>
      <c r="E227" s="28">
        <v>0.19354838709677419</v>
      </c>
      <c r="F227" s="29">
        <v>0</v>
      </c>
      <c r="G227" s="30">
        <v>0.19354838709677419</v>
      </c>
    </row>
    <row r="228" spans="1:7" x14ac:dyDescent="0.25">
      <c r="A228" s="10" t="s">
        <v>57</v>
      </c>
      <c r="B228" s="10" t="s">
        <v>46</v>
      </c>
      <c r="D228" s="17" t="s">
        <v>174</v>
      </c>
      <c r="E228" s="28">
        <v>0</v>
      </c>
      <c r="F228" s="29">
        <v>3.2258064516129031E-2</v>
      </c>
      <c r="G228" s="30">
        <v>3.2258064516129031E-2</v>
      </c>
    </row>
    <row r="229" spans="1:7" x14ac:dyDescent="0.25">
      <c r="A229" s="9" t="s">
        <v>57</v>
      </c>
      <c r="B229" s="9" t="s">
        <v>46</v>
      </c>
      <c r="D229" s="19" t="s">
        <v>255</v>
      </c>
      <c r="E229" s="31">
        <v>0.967741935483871</v>
      </c>
      <c r="F229" s="32">
        <v>3.2258064516129031E-2</v>
      </c>
      <c r="G229" s="33">
        <v>1</v>
      </c>
    </row>
    <row r="230" spans="1:7" x14ac:dyDescent="0.25">
      <c r="A230" s="10" t="s">
        <v>57</v>
      </c>
      <c r="B230" s="10" t="s">
        <v>46</v>
      </c>
    </row>
    <row r="231" spans="1:7" x14ac:dyDescent="0.25">
      <c r="A231" s="9" t="s">
        <v>57</v>
      </c>
      <c r="B231" s="9" t="s">
        <v>46</v>
      </c>
    </row>
    <row r="232" spans="1:7" x14ac:dyDescent="0.25">
      <c r="A232" s="10" t="s">
        <v>130</v>
      </c>
      <c r="B232" s="10" t="s">
        <v>46</v>
      </c>
    </row>
    <row r="233" spans="1:7" x14ac:dyDescent="0.25">
      <c r="A233" s="9" t="s">
        <v>42</v>
      </c>
      <c r="B233" s="9" t="s">
        <v>46</v>
      </c>
    </row>
    <row r="234" spans="1:7" x14ac:dyDescent="0.25">
      <c r="A234" s="10" t="s">
        <v>57</v>
      </c>
      <c r="B234" s="10" t="s">
        <v>46</v>
      </c>
    </row>
    <row r="235" spans="1:7" x14ac:dyDescent="0.25">
      <c r="A235" s="9" t="s">
        <v>57</v>
      </c>
      <c r="B235" s="9" t="s">
        <v>46</v>
      </c>
    </row>
    <row r="236" spans="1:7" x14ac:dyDescent="0.25">
      <c r="A236" s="10" t="s">
        <v>130</v>
      </c>
      <c r="B236" s="10" t="s">
        <v>46</v>
      </c>
    </row>
    <row r="237" spans="1:7" x14ac:dyDescent="0.25">
      <c r="A237" s="9" t="s">
        <v>42</v>
      </c>
      <c r="B237" s="9" t="s">
        <v>46</v>
      </c>
    </row>
    <row r="238" spans="1:7" x14ac:dyDescent="0.25">
      <c r="A238" s="10" t="s">
        <v>130</v>
      </c>
      <c r="B238" s="10" t="s">
        <v>46</v>
      </c>
    </row>
    <row r="239" spans="1:7" x14ac:dyDescent="0.25">
      <c r="A239" s="9" t="s">
        <v>57</v>
      </c>
      <c r="B239" s="9" t="s">
        <v>46</v>
      </c>
    </row>
    <row r="240" spans="1:7" x14ac:dyDescent="0.25">
      <c r="A240" s="10" t="s">
        <v>42</v>
      </c>
      <c r="B240" s="10" t="s">
        <v>46</v>
      </c>
    </row>
    <row r="241" spans="1:2" ht="26.4" x14ac:dyDescent="0.25">
      <c r="A241" s="9" t="s">
        <v>174</v>
      </c>
      <c r="B241" s="9" t="s">
        <v>179</v>
      </c>
    </row>
    <row r="242" spans="1:2" x14ac:dyDescent="0.25">
      <c r="A242" s="10" t="s">
        <v>57</v>
      </c>
      <c r="B242" s="10" t="s">
        <v>46</v>
      </c>
    </row>
    <row r="243" spans="1:2" x14ac:dyDescent="0.25">
      <c r="A243" s="9" t="s">
        <v>130</v>
      </c>
      <c r="B243" s="9" t="s">
        <v>46</v>
      </c>
    </row>
    <row r="244" spans="1:2" x14ac:dyDescent="0.25">
      <c r="A244" s="10" t="s">
        <v>57</v>
      </c>
      <c r="B244" s="10" t="s">
        <v>46</v>
      </c>
    </row>
    <row r="245" spans="1:2" x14ac:dyDescent="0.25">
      <c r="A245" s="9" t="s">
        <v>57</v>
      </c>
      <c r="B245" s="9" t="s">
        <v>46</v>
      </c>
    </row>
    <row r="246" spans="1:2" x14ac:dyDescent="0.25">
      <c r="A246" s="10" t="s">
        <v>57</v>
      </c>
      <c r="B246" s="10" t="s">
        <v>46</v>
      </c>
    </row>
    <row r="247" spans="1:2" x14ac:dyDescent="0.25">
      <c r="A247" s="9" t="s">
        <v>57</v>
      </c>
      <c r="B247" s="9" t="s">
        <v>46</v>
      </c>
    </row>
    <row r="248" spans="1:2" x14ac:dyDescent="0.25">
      <c r="A248" s="10" t="s">
        <v>130</v>
      </c>
      <c r="B248" s="10" t="s">
        <v>46</v>
      </c>
    </row>
    <row r="249" spans="1:2" x14ac:dyDescent="0.25">
      <c r="A249" s="9" t="s">
        <v>57</v>
      </c>
      <c r="B249" s="9" t="s">
        <v>46</v>
      </c>
    </row>
    <row r="250" spans="1:2" x14ac:dyDescent="0.25">
      <c r="A250" s="10" t="s">
        <v>57</v>
      </c>
      <c r="B250" s="10" t="s">
        <v>46</v>
      </c>
    </row>
    <row r="251" spans="1:2" x14ac:dyDescent="0.25">
      <c r="A251" s="9" t="s">
        <v>57</v>
      </c>
      <c r="B251" s="9" t="s">
        <v>46</v>
      </c>
    </row>
    <row r="252" spans="1:2" x14ac:dyDescent="0.25">
      <c r="A252" s="10" t="s">
        <v>130</v>
      </c>
      <c r="B252" s="10" t="s">
        <v>46</v>
      </c>
    </row>
    <row r="253" spans="1:2" x14ac:dyDescent="0.25">
      <c r="A253" s="9" t="s">
        <v>42</v>
      </c>
      <c r="B253" s="9" t="s">
        <v>46</v>
      </c>
    </row>
    <row r="254" spans="1:2" x14ac:dyDescent="0.25">
      <c r="A254" s="8" t="s">
        <v>57</v>
      </c>
      <c r="B254" s="8" t="s">
        <v>46</v>
      </c>
    </row>
    <row r="259" spans="1:7" x14ac:dyDescent="0.25">
      <c r="A259" s="9" t="s">
        <v>46</v>
      </c>
      <c r="B259" s="9" t="s">
        <v>42</v>
      </c>
      <c r="D259" s="14" t="s">
        <v>259</v>
      </c>
      <c r="E259" s="14" t="s">
        <v>257</v>
      </c>
      <c r="F259" s="12"/>
      <c r="G259" s="13"/>
    </row>
    <row r="260" spans="1:7" x14ac:dyDescent="0.25">
      <c r="A260" s="10" t="s">
        <v>44</v>
      </c>
      <c r="B260" s="10" t="s">
        <v>57</v>
      </c>
      <c r="D260" s="14" t="s">
        <v>253</v>
      </c>
      <c r="E260" s="11" t="s">
        <v>46</v>
      </c>
      <c r="F260" s="21" t="s">
        <v>44</v>
      </c>
      <c r="G260" s="15" t="s">
        <v>255</v>
      </c>
    </row>
    <row r="261" spans="1:7" x14ac:dyDescent="0.25">
      <c r="A261" s="9" t="s">
        <v>46</v>
      </c>
      <c r="B261" s="9" t="s">
        <v>57</v>
      </c>
      <c r="D261" s="16" t="s">
        <v>57</v>
      </c>
      <c r="E261" s="25">
        <v>0.38709677419354838</v>
      </c>
      <c r="F261" s="26">
        <v>0.25806451612903225</v>
      </c>
      <c r="G261" s="27">
        <v>0.64516129032258063</v>
      </c>
    </row>
    <row r="262" spans="1:7" x14ac:dyDescent="0.25">
      <c r="A262" s="10" t="s">
        <v>46</v>
      </c>
      <c r="B262" s="10" t="s">
        <v>57</v>
      </c>
      <c r="D262" s="17" t="s">
        <v>42</v>
      </c>
      <c r="E262" s="28">
        <v>6.4516129032258063E-2</v>
      </c>
      <c r="F262" s="29">
        <v>6.4516129032258063E-2</v>
      </c>
      <c r="G262" s="30">
        <v>0.12903225806451613</v>
      </c>
    </row>
    <row r="263" spans="1:7" x14ac:dyDescent="0.25">
      <c r="A263" s="9" t="s">
        <v>46</v>
      </c>
      <c r="B263" s="9" t="s">
        <v>57</v>
      </c>
      <c r="D263" s="17" t="s">
        <v>130</v>
      </c>
      <c r="E263" s="28">
        <v>9.6774193548387094E-2</v>
      </c>
      <c r="F263" s="29">
        <v>9.6774193548387094E-2</v>
      </c>
      <c r="G263" s="30">
        <v>0.19354838709677419</v>
      </c>
    </row>
    <row r="264" spans="1:7" x14ac:dyDescent="0.25">
      <c r="A264" s="10" t="s">
        <v>44</v>
      </c>
      <c r="B264" s="10" t="s">
        <v>57</v>
      </c>
      <c r="D264" s="17" t="s">
        <v>174</v>
      </c>
      <c r="E264" s="28">
        <v>3.2258064516129031E-2</v>
      </c>
      <c r="F264" s="29">
        <v>0</v>
      </c>
      <c r="G264" s="30">
        <v>3.2258064516129031E-2</v>
      </c>
    </row>
    <row r="265" spans="1:7" x14ac:dyDescent="0.25">
      <c r="A265" s="9" t="s">
        <v>46</v>
      </c>
      <c r="B265" s="9" t="s">
        <v>57</v>
      </c>
      <c r="D265" s="19" t="s">
        <v>255</v>
      </c>
      <c r="E265" s="31">
        <v>0.58064516129032262</v>
      </c>
      <c r="F265" s="32">
        <v>0.41935483870967744</v>
      </c>
      <c r="G265" s="33">
        <v>1</v>
      </c>
    </row>
    <row r="266" spans="1:7" x14ac:dyDescent="0.25">
      <c r="A266" s="10" t="s">
        <v>44</v>
      </c>
      <c r="B266" s="10" t="s">
        <v>57</v>
      </c>
    </row>
    <row r="267" spans="1:7" x14ac:dyDescent="0.25">
      <c r="A267" s="9" t="s">
        <v>44</v>
      </c>
      <c r="B267" s="9" t="s">
        <v>57</v>
      </c>
    </row>
    <row r="268" spans="1:7" x14ac:dyDescent="0.25">
      <c r="A268" s="10" t="s">
        <v>44</v>
      </c>
      <c r="B268" s="10" t="s">
        <v>130</v>
      </c>
    </row>
    <row r="269" spans="1:7" x14ac:dyDescent="0.25">
      <c r="A269" s="9" t="s">
        <v>44</v>
      </c>
      <c r="B269" s="9" t="s">
        <v>42</v>
      </c>
    </row>
    <row r="270" spans="1:7" x14ac:dyDescent="0.25">
      <c r="A270" s="10" t="s">
        <v>46</v>
      </c>
      <c r="B270" s="10" t="s">
        <v>57</v>
      </c>
    </row>
    <row r="271" spans="1:7" x14ac:dyDescent="0.25">
      <c r="A271" s="9" t="s">
        <v>46</v>
      </c>
      <c r="B271" s="9" t="s">
        <v>57</v>
      </c>
    </row>
    <row r="272" spans="1:7" x14ac:dyDescent="0.25">
      <c r="A272" s="10" t="s">
        <v>46</v>
      </c>
      <c r="B272" s="10" t="s">
        <v>130</v>
      </c>
    </row>
    <row r="273" spans="1:2" x14ac:dyDescent="0.25">
      <c r="A273" s="9" t="s">
        <v>46</v>
      </c>
      <c r="B273" s="9" t="s">
        <v>42</v>
      </c>
    </row>
    <row r="274" spans="1:2" x14ac:dyDescent="0.25">
      <c r="A274" s="10" t="s">
        <v>44</v>
      </c>
      <c r="B274" s="10" t="s">
        <v>130</v>
      </c>
    </row>
    <row r="275" spans="1:2" x14ac:dyDescent="0.25">
      <c r="A275" s="9" t="s">
        <v>46</v>
      </c>
      <c r="B275" s="9" t="s">
        <v>57</v>
      </c>
    </row>
    <row r="276" spans="1:2" x14ac:dyDescent="0.25">
      <c r="A276" s="10" t="s">
        <v>46</v>
      </c>
      <c r="B276" s="10" t="s">
        <v>42</v>
      </c>
    </row>
    <row r="277" spans="1:2" ht="26.4" x14ac:dyDescent="0.25">
      <c r="A277" s="9" t="s">
        <v>46</v>
      </c>
      <c r="B277" s="9" t="s">
        <v>174</v>
      </c>
    </row>
    <row r="278" spans="1:2" x14ac:dyDescent="0.25">
      <c r="A278" s="10" t="s">
        <v>46</v>
      </c>
      <c r="B278" s="10" t="s">
        <v>57</v>
      </c>
    </row>
    <row r="279" spans="1:2" x14ac:dyDescent="0.25">
      <c r="A279" s="9" t="s">
        <v>46</v>
      </c>
      <c r="B279" s="9" t="s">
        <v>130</v>
      </c>
    </row>
    <row r="280" spans="1:2" x14ac:dyDescent="0.25">
      <c r="A280" s="10" t="s">
        <v>46</v>
      </c>
      <c r="B280" s="10" t="s">
        <v>57</v>
      </c>
    </row>
    <row r="281" spans="1:2" x14ac:dyDescent="0.25">
      <c r="A281" s="9" t="s">
        <v>44</v>
      </c>
      <c r="B281" s="9" t="s">
        <v>57</v>
      </c>
    </row>
    <row r="282" spans="1:2" x14ac:dyDescent="0.25">
      <c r="A282" s="10" t="s">
        <v>44</v>
      </c>
      <c r="B282" s="10" t="s">
        <v>57</v>
      </c>
    </row>
    <row r="283" spans="1:2" x14ac:dyDescent="0.25">
      <c r="A283" s="9" t="s">
        <v>44</v>
      </c>
      <c r="B283" s="9" t="s">
        <v>57</v>
      </c>
    </row>
    <row r="284" spans="1:2" x14ac:dyDescent="0.25">
      <c r="A284" s="10" t="s">
        <v>44</v>
      </c>
      <c r="B284" s="10" t="s">
        <v>130</v>
      </c>
    </row>
    <row r="285" spans="1:2" x14ac:dyDescent="0.25">
      <c r="A285" s="9" t="s">
        <v>46</v>
      </c>
      <c r="B285" s="9" t="s">
        <v>57</v>
      </c>
    </row>
    <row r="286" spans="1:2" x14ac:dyDescent="0.25">
      <c r="A286" s="10" t="s">
        <v>46</v>
      </c>
      <c r="B286" s="10" t="s">
        <v>57</v>
      </c>
    </row>
    <row r="287" spans="1:2" x14ac:dyDescent="0.25">
      <c r="A287" s="9" t="s">
        <v>46</v>
      </c>
      <c r="B287" s="9" t="s">
        <v>57</v>
      </c>
    </row>
    <row r="288" spans="1:2" x14ac:dyDescent="0.25">
      <c r="A288" s="10" t="s">
        <v>46</v>
      </c>
      <c r="B288" s="10" t="s">
        <v>130</v>
      </c>
    </row>
    <row r="289" spans="1:10" x14ac:dyDescent="0.25">
      <c r="A289" s="9" t="s">
        <v>44</v>
      </c>
      <c r="B289" s="9" t="s">
        <v>42</v>
      </c>
    </row>
    <row r="290" spans="1:10" x14ac:dyDescent="0.25">
      <c r="A290" s="8" t="s">
        <v>44</v>
      </c>
      <c r="B290" s="8" t="s">
        <v>57</v>
      </c>
    </row>
    <row r="293" spans="1:10" ht="39.6" x14ac:dyDescent="0.25">
      <c r="A293" s="9" t="s">
        <v>42</v>
      </c>
      <c r="B293" s="9" t="s">
        <v>41</v>
      </c>
      <c r="F293" s="22" t="s">
        <v>269</v>
      </c>
      <c r="G293" s="22" t="s">
        <v>270</v>
      </c>
      <c r="H293" s="22" t="s">
        <v>271</v>
      </c>
      <c r="I293" s="22" t="s">
        <v>258</v>
      </c>
      <c r="J293" s="22" t="s">
        <v>272</v>
      </c>
    </row>
    <row r="294" spans="1:10" x14ac:dyDescent="0.25">
      <c r="A294" s="10" t="s">
        <v>57</v>
      </c>
      <c r="B294" s="10" t="s">
        <v>41</v>
      </c>
      <c r="D294" s="34" t="s">
        <v>253</v>
      </c>
      <c r="F294" s="23" t="s">
        <v>57</v>
      </c>
      <c r="G294" s="23">
        <v>14</v>
      </c>
      <c r="H294" s="23">
        <v>7</v>
      </c>
      <c r="I294" s="23">
        <v>21</v>
      </c>
      <c r="J294" s="23" t="s">
        <v>273</v>
      </c>
    </row>
    <row r="295" spans="1:10" x14ac:dyDescent="0.25">
      <c r="A295" s="9" t="s">
        <v>57</v>
      </c>
      <c r="B295" s="9" t="s">
        <v>142</v>
      </c>
      <c r="D295" s="35" t="s">
        <v>41</v>
      </c>
      <c r="F295" s="23" t="s">
        <v>42</v>
      </c>
      <c r="G295" s="23">
        <v>4</v>
      </c>
      <c r="H295" s="23">
        <v>0</v>
      </c>
      <c r="I295" s="23">
        <v>4</v>
      </c>
      <c r="J295" s="23" t="s">
        <v>274</v>
      </c>
    </row>
    <row r="296" spans="1:10" x14ac:dyDescent="0.25">
      <c r="A296" s="10" t="s">
        <v>57</v>
      </c>
      <c r="B296" s="10" t="s">
        <v>41</v>
      </c>
      <c r="D296" s="38" t="s">
        <v>57</v>
      </c>
      <c r="F296" s="23" t="s">
        <v>130</v>
      </c>
      <c r="G296" s="23">
        <v>4</v>
      </c>
      <c r="H296" s="23">
        <v>2</v>
      </c>
      <c r="I296" s="23">
        <v>6</v>
      </c>
      <c r="J296" s="23" t="s">
        <v>275</v>
      </c>
    </row>
    <row r="297" spans="1:10" x14ac:dyDescent="0.25">
      <c r="A297" s="9" t="s">
        <v>57</v>
      </c>
      <c r="B297" s="9" t="s">
        <v>142</v>
      </c>
      <c r="D297" s="38" t="s">
        <v>42</v>
      </c>
      <c r="F297" s="23" t="s">
        <v>276</v>
      </c>
      <c r="G297" s="23">
        <v>0</v>
      </c>
      <c r="H297" s="23">
        <v>1</v>
      </c>
      <c r="I297" s="23">
        <v>1</v>
      </c>
      <c r="J297" s="23" t="s">
        <v>277</v>
      </c>
    </row>
    <row r="298" spans="1:10" x14ac:dyDescent="0.25">
      <c r="A298" s="10" t="s">
        <v>57</v>
      </c>
      <c r="B298" s="10" t="s">
        <v>41</v>
      </c>
      <c r="D298" s="38" t="s">
        <v>130</v>
      </c>
      <c r="F298" s="24" t="s">
        <v>258</v>
      </c>
      <c r="G298" s="24">
        <v>22</v>
      </c>
      <c r="H298" s="24">
        <v>10</v>
      </c>
      <c r="I298" s="24">
        <v>32</v>
      </c>
      <c r="J298" s="39">
        <v>1</v>
      </c>
    </row>
    <row r="299" spans="1:10" x14ac:dyDescent="0.25">
      <c r="A299" s="9" t="s">
        <v>57</v>
      </c>
      <c r="B299" s="9" t="s">
        <v>41</v>
      </c>
      <c r="D299" s="36" t="s">
        <v>142</v>
      </c>
    </row>
    <row r="300" spans="1:10" x14ac:dyDescent="0.25">
      <c r="A300" s="10" t="s">
        <v>57</v>
      </c>
      <c r="B300" s="10" t="s">
        <v>41</v>
      </c>
      <c r="D300" s="38" t="s">
        <v>57</v>
      </c>
    </row>
    <row r="301" spans="1:10" x14ac:dyDescent="0.25">
      <c r="A301" s="9" t="s">
        <v>57</v>
      </c>
      <c r="B301" s="9" t="s">
        <v>142</v>
      </c>
      <c r="D301" s="38" t="s">
        <v>130</v>
      </c>
    </row>
    <row r="302" spans="1:10" x14ac:dyDescent="0.25">
      <c r="A302" s="10" t="s">
        <v>130</v>
      </c>
      <c r="B302" s="10" t="s">
        <v>41</v>
      </c>
      <c r="D302" s="38" t="s">
        <v>174</v>
      </c>
    </row>
    <row r="303" spans="1:10" x14ac:dyDescent="0.25">
      <c r="A303" s="9" t="s">
        <v>42</v>
      </c>
      <c r="B303" s="9" t="s">
        <v>41</v>
      </c>
      <c r="D303" s="37" t="s">
        <v>255</v>
      </c>
    </row>
    <row r="304" spans="1:10" x14ac:dyDescent="0.25">
      <c r="A304" s="10" t="s">
        <v>57</v>
      </c>
      <c r="B304" s="10" t="s">
        <v>142</v>
      </c>
    </row>
    <row r="305" spans="1:2" x14ac:dyDescent="0.25">
      <c r="A305" s="9" t="s">
        <v>57</v>
      </c>
      <c r="B305" s="9" t="s">
        <v>142</v>
      </c>
    </row>
    <row r="306" spans="1:2" x14ac:dyDescent="0.25">
      <c r="A306" s="10" t="s">
        <v>130</v>
      </c>
      <c r="B306" s="10" t="s">
        <v>142</v>
      </c>
    </row>
    <row r="307" spans="1:2" x14ac:dyDescent="0.25">
      <c r="A307" s="9" t="s">
        <v>42</v>
      </c>
      <c r="B307" s="9" t="s">
        <v>41</v>
      </c>
    </row>
    <row r="308" spans="1:2" x14ac:dyDescent="0.25">
      <c r="A308" s="10" t="s">
        <v>130</v>
      </c>
      <c r="B308" s="10" t="s">
        <v>41</v>
      </c>
    </row>
    <row r="309" spans="1:2" x14ac:dyDescent="0.25">
      <c r="A309" s="9" t="s">
        <v>57</v>
      </c>
      <c r="B309" s="9" t="s">
        <v>41</v>
      </c>
    </row>
    <row r="310" spans="1:2" x14ac:dyDescent="0.25">
      <c r="A310" s="10" t="s">
        <v>42</v>
      </c>
      <c r="B310" s="10" t="s">
        <v>41</v>
      </c>
    </row>
    <row r="311" spans="1:2" x14ac:dyDescent="0.25">
      <c r="A311" s="9" t="s">
        <v>174</v>
      </c>
      <c r="B311" s="9" t="s">
        <v>142</v>
      </c>
    </row>
    <row r="312" spans="1:2" x14ac:dyDescent="0.25">
      <c r="A312" s="10" t="s">
        <v>57</v>
      </c>
      <c r="B312" s="10" t="s">
        <v>41</v>
      </c>
    </row>
    <row r="313" spans="1:2" x14ac:dyDescent="0.25">
      <c r="A313" s="9" t="s">
        <v>130</v>
      </c>
      <c r="B313" s="9" t="s">
        <v>41</v>
      </c>
    </row>
    <row r="314" spans="1:2" x14ac:dyDescent="0.25">
      <c r="A314" s="10" t="s">
        <v>57</v>
      </c>
      <c r="B314" s="10" t="s">
        <v>41</v>
      </c>
    </row>
    <row r="315" spans="1:2" x14ac:dyDescent="0.25">
      <c r="A315" s="9" t="s">
        <v>57</v>
      </c>
      <c r="B315" s="9" t="s">
        <v>41</v>
      </c>
    </row>
    <row r="316" spans="1:2" x14ac:dyDescent="0.25">
      <c r="A316" s="10" t="s">
        <v>57</v>
      </c>
      <c r="B316" s="10" t="s">
        <v>41</v>
      </c>
    </row>
    <row r="317" spans="1:2" x14ac:dyDescent="0.25">
      <c r="A317" s="9" t="s">
        <v>57</v>
      </c>
      <c r="B317" s="9" t="s">
        <v>142</v>
      </c>
    </row>
    <row r="318" spans="1:2" x14ac:dyDescent="0.25">
      <c r="A318" s="10" t="s">
        <v>130</v>
      </c>
      <c r="B318" s="10" t="s">
        <v>142</v>
      </c>
    </row>
    <row r="319" spans="1:2" x14ac:dyDescent="0.25">
      <c r="A319" s="9" t="s">
        <v>57</v>
      </c>
      <c r="B319" s="9" t="s">
        <v>41</v>
      </c>
    </row>
    <row r="320" spans="1:2" x14ac:dyDescent="0.25">
      <c r="A320" s="10" t="s">
        <v>57</v>
      </c>
      <c r="B320" s="10" t="s">
        <v>41</v>
      </c>
    </row>
    <row r="321" spans="1:2" x14ac:dyDescent="0.25">
      <c r="A321" s="9" t="s">
        <v>57</v>
      </c>
      <c r="B321" s="9" t="s">
        <v>142</v>
      </c>
    </row>
    <row r="322" spans="1:2" x14ac:dyDescent="0.25">
      <c r="A322" s="10" t="s">
        <v>130</v>
      </c>
      <c r="B322" s="10" t="s">
        <v>41</v>
      </c>
    </row>
    <row r="323" spans="1:2" x14ac:dyDescent="0.25">
      <c r="A323" s="9" t="s">
        <v>42</v>
      </c>
      <c r="B323" s="9" t="s">
        <v>41</v>
      </c>
    </row>
    <row r="324" spans="1:2" x14ac:dyDescent="0.25">
      <c r="A324" s="8" t="s">
        <v>57</v>
      </c>
      <c r="B324" s="8" t="s">
        <v>142</v>
      </c>
    </row>
  </sheetData>
  <pageMargins left="0.7" right="0.7" top="0.75" bottom="0.75" header="0.3" footer="0.3"/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I70"/>
  <sheetViews>
    <sheetView topLeftCell="A40" workbookViewId="0">
      <selection activeCell="A55" sqref="A55:A70"/>
    </sheetView>
  </sheetViews>
  <sheetFormatPr defaultColWidth="11.5546875" defaultRowHeight="13.2" x14ac:dyDescent="0.25"/>
  <cols>
    <col min="1" max="1" width="17.5546875" customWidth="1"/>
    <col min="2" max="2" width="20.6640625" bestFit="1" customWidth="1"/>
    <col min="3" max="3" width="16.109375" customWidth="1"/>
    <col min="4" max="4" width="8.21875" customWidth="1"/>
    <col min="5" max="5" width="16.109375" bestFit="1" customWidth="1"/>
    <col min="6" max="6" width="18.44140625" bestFit="1" customWidth="1"/>
    <col min="8" max="8" width="16.109375" bestFit="1" customWidth="1"/>
    <col min="9" max="9" width="8.21875" customWidth="1"/>
  </cols>
  <sheetData>
    <row r="3" spans="1:4" x14ac:dyDescent="0.25">
      <c r="A3" s="14" t="s">
        <v>254</v>
      </c>
      <c r="B3" s="14" t="s">
        <v>257</v>
      </c>
      <c r="C3" s="12"/>
      <c r="D3" s="13"/>
    </row>
    <row r="4" spans="1:4" x14ac:dyDescent="0.25">
      <c r="A4" s="14" t="s">
        <v>253</v>
      </c>
      <c r="B4" s="11" t="s">
        <v>46</v>
      </c>
      <c r="C4" s="21" t="s">
        <v>44</v>
      </c>
      <c r="D4" s="15" t="s">
        <v>255</v>
      </c>
    </row>
    <row r="5" spans="1:4" x14ac:dyDescent="0.25">
      <c r="A5" s="16" t="s">
        <v>219</v>
      </c>
      <c r="B5" s="25">
        <v>3.2258064516129031E-2</v>
      </c>
      <c r="C5" s="26">
        <v>0</v>
      </c>
      <c r="D5" s="27">
        <v>3.2258064516129031E-2</v>
      </c>
    </row>
    <row r="6" spans="1:4" x14ac:dyDescent="0.25">
      <c r="A6" s="17" t="s">
        <v>96</v>
      </c>
      <c r="B6" s="28">
        <v>6.4516129032258063E-2</v>
      </c>
      <c r="C6" s="29">
        <v>0.16129032258064516</v>
      </c>
      <c r="D6" s="30">
        <v>0.22580645161290322</v>
      </c>
    </row>
    <row r="7" spans="1:4" x14ac:dyDescent="0.25">
      <c r="A7" s="17" t="s">
        <v>77</v>
      </c>
      <c r="B7" s="28">
        <v>0</v>
      </c>
      <c r="C7" s="29">
        <v>0.38709677419354838</v>
      </c>
      <c r="D7" s="30">
        <v>0.38709677419354838</v>
      </c>
    </row>
    <row r="8" spans="1:4" x14ac:dyDescent="0.25">
      <c r="A8" s="17" t="s">
        <v>56</v>
      </c>
      <c r="B8" s="28">
        <v>3.2258064516129031E-2</v>
      </c>
      <c r="C8" s="29">
        <v>0.12903225806451613</v>
      </c>
      <c r="D8" s="30">
        <v>0.16129032258064516</v>
      </c>
    </row>
    <row r="9" spans="1:4" x14ac:dyDescent="0.25">
      <c r="A9" s="17" t="s">
        <v>40</v>
      </c>
      <c r="B9" s="28">
        <v>0</v>
      </c>
      <c r="C9" s="29">
        <v>0.16129032258064516</v>
      </c>
      <c r="D9" s="30">
        <v>0.16129032258064516</v>
      </c>
    </row>
    <row r="10" spans="1:4" x14ac:dyDescent="0.25">
      <c r="A10" s="17" t="s">
        <v>214</v>
      </c>
      <c r="B10" s="28">
        <v>0</v>
      </c>
      <c r="C10" s="29">
        <v>3.2258064516129031E-2</v>
      </c>
      <c r="D10" s="30">
        <v>3.2258064516129031E-2</v>
      </c>
    </row>
    <row r="11" spans="1:4" x14ac:dyDescent="0.25">
      <c r="A11" s="19" t="s">
        <v>255</v>
      </c>
      <c r="B11" s="31">
        <v>0.12903225806451613</v>
      </c>
      <c r="C11" s="32">
        <v>0.87096774193548387</v>
      </c>
      <c r="D11" s="33">
        <v>1</v>
      </c>
    </row>
    <row r="17" spans="1:4" x14ac:dyDescent="0.25">
      <c r="A17" s="42" t="s">
        <v>38</v>
      </c>
    </row>
    <row r="18" spans="1:4" x14ac:dyDescent="0.25">
      <c r="A18" s="43" t="s">
        <v>38</v>
      </c>
    </row>
    <row r="19" spans="1:4" x14ac:dyDescent="0.25">
      <c r="A19" s="42" t="s">
        <v>38</v>
      </c>
    </row>
    <row r="20" spans="1:4" x14ac:dyDescent="0.25">
      <c r="A20" s="43" t="s">
        <v>38</v>
      </c>
    </row>
    <row r="21" spans="1:4" x14ac:dyDescent="0.25">
      <c r="A21" s="42" t="s">
        <v>38</v>
      </c>
    </row>
    <row r="22" spans="1:4" x14ac:dyDescent="0.25">
      <c r="A22" s="43" t="s">
        <v>38</v>
      </c>
    </row>
    <row r="23" spans="1:4" x14ac:dyDescent="0.25">
      <c r="A23" s="42" t="s">
        <v>38</v>
      </c>
    </row>
    <row r="24" spans="1:4" x14ac:dyDescent="0.25">
      <c r="A24" s="43" t="s">
        <v>38</v>
      </c>
    </row>
    <row r="25" spans="1:4" x14ac:dyDescent="0.25">
      <c r="A25" s="42" t="s">
        <v>38</v>
      </c>
      <c r="C25" s="14" t="s">
        <v>253</v>
      </c>
      <c r="D25" s="15" t="s">
        <v>279</v>
      </c>
    </row>
    <row r="26" spans="1:4" x14ac:dyDescent="0.25">
      <c r="A26" s="43" t="s">
        <v>128</v>
      </c>
      <c r="C26" s="16" t="s">
        <v>128</v>
      </c>
      <c r="D26" s="27">
        <v>9.6774193548387094E-2</v>
      </c>
    </row>
    <row r="27" spans="1:4" x14ac:dyDescent="0.25">
      <c r="A27" s="42" t="s">
        <v>38</v>
      </c>
      <c r="C27" s="17" t="s">
        <v>38</v>
      </c>
      <c r="D27" s="30">
        <v>0.90322580645161288</v>
      </c>
    </row>
    <row r="28" spans="1:4" x14ac:dyDescent="0.25">
      <c r="A28" s="43" t="s">
        <v>38</v>
      </c>
      <c r="C28" s="19" t="s">
        <v>255</v>
      </c>
      <c r="D28" s="33">
        <v>1</v>
      </c>
    </row>
    <row r="29" spans="1:4" x14ac:dyDescent="0.25">
      <c r="A29" s="42" t="s">
        <v>38</v>
      </c>
    </row>
    <row r="30" spans="1:4" x14ac:dyDescent="0.25">
      <c r="A30" s="43" t="s">
        <v>38</v>
      </c>
    </row>
    <row r="31" spans="1:4" x14ac:dyDescent="0.25">
      <c r="A31" s="42" t="s">
        <v>38</v>
      </c>
      <c r="C31" s="42" t="s">
        <v>39</v>
      </c>
    </row>
    <row r="32" spans="1:4" x14ac:dyDescent="0.25">
      <c r="A32" s="43" t="s">
        <v>38</v>
      </c>
      <c r="C32" s="43" t="s">
        <v>55</v>
      </c>
    </row>
    <row r="33" spans="1:6" x14ac:dyDescent="0.25">
      <c r="A33" s="42" t="s">
        <v>38</v>
      </c>
      <c r="C33" s="42" t="s">
        <v>66</v>
      </c>
    </row>
    <row r="34" spans="1:6" x14ac:dyDescent="0.25">
      <c r="A34" s="43" t="s">
        <v>38</v>
      </c>
      <c r="C34" s="43" t="s">
        <v>39</v>
      </c>
    </row>
    <row r="35" spans="1:6" x14ac:dyDescent="0.25">
      <c r="A35" s="42" t="s">
        <v>38</v>
      </c>
      <c r="C35" s="42" t="s">
        <v>87</v>
      </c>
    </row>
    <row r="36" spans="1:6" x14ac:dyDescent="0.25">
      <c r="A36" s="43" t="s">
        <v>38</v>
      </c>
      <c r="C36" s="43" t="s">
        <v>39</v>
      </c>
    </row>
    <row r="37" spans="1:6" x14ac:dyDescent="0.25">
      <c r="A37" s="42" t="s">
        <v>38</v>
      </c>
      <c r="C37" s="42" t="s">
        <v>107</v>
      </c>
    </row>
    <row r="38" spans="1:6" x14ac:dyDescent="0.25">
      <c r="A38" s="43" t="s">
        <v>38</v>
      </c>
      <c r="C38" s="43" t="s">
        <v>107</v>
      </c>
    </row>
    <row r="39" spans="1:6" x14ac:dyDescent="0.25">
      <c r="A39" s="42" t="s">
        <v>128</v>
      </c>
      <c r="C39" s="42" t="s">
        <v>87</v>
      </c>
    </row>
    <row r="40" spans="1:6" x14ac:dyDescent="0.25">
      <c r="A40" s="43" t="s">
        <v>38</v>
      </c>
      <c r="C40" s="43" t="s">
        <v>129</v>
      </c>
    </row>
    <row r="41" spans="1:6" x14ac:dyDescent="0.25">
      <c r="A41" s="42" t="s">
        <v>38</v>
      </c>
      <c r="C41" s="42" t="s">
        <v>87</v>
      </c>
    </row>
    <row r="42" spans="1:6" x14ac:dyDescent="0.25">
      <c r="A42" s="43" t="s">
        <v>38</v>
      </c>
      <c r="C42" s="43" t="s">
        <v>107</v>
      </c>
    </row>
    <row r="43" spans="1:6" x14ac:dyDescent="0.25">
      <c r="A43" s="42" t="s">
        <v>38</v>
      </c>
      <c r="C43" s="42" t="s">
        <v>87</v>
      </c>
    </row>
    <row r="44" spans="1:6" x14ac:dyDescent="0.25">
      <c r="A44" s="43" t="s">
        <v>38</v>
      </c>
      <c r="C44" s="43" t="s">
        <v>55</v>
      </c>
      <c r="E44" s="14" t="s">
        <v>253</v>
      </c>
      <c r="F44" s="15" t="s">
        <v>278</v>
      </c>
    </row>
    <row r="45" spans="1:6" x14ac:dyDescent="0.25">
      <c r="A45" s="42" t="s">
        <v>128</v>
      </c>
      <c r="C45" s="42" t="s">
        <v>161</v>
      </c>
      <c r="E45" s="16" t="s">
        <v>129</v>
      </c>
      <c r="F45" s="15">
        <v>4</v>
      </c>
    </row>
    <row r="46" spans="1:6" x14ac:dyDescent="0.25">
      <c r="A46" s="43" t="s">
        <v>38</v>
      </c>
      <c r="C46" s="43" t="s">
        <v>161</v>
      </c>
      <c r="E46" s="17" t="s">
        <v>161</v>
      </c>
      <c r="F46" s="18">
        <v>4</v>
      </c>
    </row>
    <row r="47" spans="1:6" x14ac:dyDescent="0.25">
      <c r="A47" s="42" t="s">
        <v>38</v>
      </c>
      <c r="C47" s="42" t="s">
        <v>161</v>
      </c>
      <c r="E47" s="17" t="s">
        <v>66</v>
      </c>
      <c r="F47" s="18">
        <v>1</v>
      </c>
    </row>
    <row r="48" spans="1:6" x14ac:dyDescent="0.25">
      <c r="A48" s="44" t="s">
        <v>38</v>
      </c>
      <c r="C48" s="43" t="s">
        <v>161</v>
      </c>
      <c r="E48" s="17" t="s">
        <v>55</v>
      </c>
      <c r="F48" s="18">
        <v>2</v>
      </c>
    </row>
    <row r="49" spans="1:9" x14ac:dyDescent="0.25">
      <c r="C49" s="42" t="s">
        <v>107</v>
      </c>
      <c r="E49" s="17" t="s">
        <v>107</v>
      </c>
      <c r="F49" s="18">
        <v>6</v>
      </c>
    </row>
    <row r="50" spans="1:9" x14ac:dyDescent="0.25">
      <c r="C50" s="43" t="s">
        <v>39</v>
      </c>
      <c r="E50" s="17" t="s">
        <v>39</v>
      </c>
      <c r="F50" s="18">
        <v>7</v>
      </c>
    </row>
    <row r="51" spans="1:9" x14ac:dyDescent="0.25">
      <c r="C51" s="42" t="s">
        <v>129</v>
      </c>
      <c r="E51" s="17" t="s">
        <v>87</v>
      </c>
      <c r="F51" s="18">
        <v>5</v>
      </c>
    </row>
    <row r="52" spans="1:9" x14ac:dyDescent="0.25">
      <c r="C52" s="43" t="s">
        <v>39</v>
      </c>
      <c r="E52" s="17" t="s">
        <v>213</v>
      </c>
      <c r="F52" s="18">
        <v>2</v>
      </c>
    </row>
    <row r="53" spans="1:9" x14ac:dyDescent="0.25">
      <c r="C53" s="42" t="s">
        <v>87</v>
      </c>
      <c r="E53" s="19" t="s">
        <v>255</v>
      </c>
      <c r="F53" s="20">
        <v>31</v>
      </c>
      <c r="H53" s="14" t="s">
        <v>253</v>
      </c>
      <c r="I53" s="15" t="s">
        <v>279</v>
      </c>
    </row>
    <row r="54" spans="1:9" x14ac:dyDescent="0.25">
      <c r="C54" s="43" t="s">
        <v>39</v>
      </c>
      <c r="H54" s="16" t="s">
        <v>129</v>
      </c>
      <c r="I54" s="27">
        <v>0.12903225806451613</v>
      </c>
    </row>
    <row r="55" spans="1:9" x14ac:dyDescent="0.25">
      <c r="A55" s="42" t="s">
        <v>41</v>
      </c>
      <c r="C55" s="42" t="s">
        <v>107</v>
      </c>
      <c r="H55" s="17" t="s">
        <v>161</v>
      </c>
      <c r="I55" s="30">
        <v>0.12903225806451613</v>
      </c>
    </row>
    <row r="56" spans="1:9" x14ac:dyDescent="0.25">
      <c r="A56" s="43" t="s">
        <v>41</v>
      </c>
      <c r="C56" s="43" t="s">
        <v>213</v>
      </c>
      <c r="H56" s="17" t="s">
        <v>66</v>
      </c>
      <c r="I56" s="30">
        <v>3.2258064516129031E-2</v>
      </c>
    </row>
    <row r="57" spans="1:9" x14ac:dyDescent="0.25">
      <c r="A57" s="42" t="s">
        <v>142</v>
      </c>
      <c r="C57" s="42" t="s">
        <v>39</v>
      </c>
      <c r="H57" s="17" t="s">
        <v>55</v>
      </c>
      <c r="I57" s="30">
        <v>6.4516129032258063E-2</v>
      </c>
    </row>
    <row r="58" spans="1:9" x14ac:dyDescent="0.25">
      <c r="A58" s="43" t="s">
        <v>41</v>
      </c>
      <c r="C58" s="43" t="s">
        <v>129</v>
      </c>
      <c r="H58" s="17" t="s">
        <v>107</v>
      </c>
      <c r="I58" s="30">
        <v>0.19354838709677419</v>
      </c>
    </row>
    <row r="59" spans="1:9" x14ac:dyDescent="0.25">
      <c r="A59" s="42" t="s">
        <v>41</v>
      </c>
      <c r="C59" s="42" t="s">
        <v>107</v>
      </c>
      <c r="H59" s="17" t="s">
        <v>39</v>
      </c>
      <c r="I59" s="30">
        <v>0.22580645161290322</v>
      </c>
    </row>
    <row r="60" spans="1:9" x14ac:dyDescent="0.25">
      <c r="A60" s="43" t="s">
        <v>41</v>
      </c>
      <c r="C60" s="43" t="s">
        <v>213</v>
      </c>
      <c r="H60" s="17" t="s">
        <v>87</v>
      </c>
      <c r="I60" s="30">
        <v>0.16129032258064516</v>
      </c>
    </row>
    <row r="61" spans="1:9" x14ac:dyDescent="0.25">
      <c r="A61" s="42" t="s">
        <v>41</v>
      </c>
      <c r="C61" s="42" t="s">
        <v>129</v>
      </c>
      <c r="H61" s="17" t="s">
        <v>213</v>
      </c>
      <c r="I61" s="30">
        <v>6.4516129032258063E-2</v>
      </c>
    </row>
    <row r="62" spans="1:9" x14ac:dyDescent="0.25">
      <c r="A62" s="43" t="s">
        <v>41</v>
      </c>
      <c r="C62" s="44" t="s">
        <v>39</v>
      </c>
      <c r="H62" s="19" t="s">
        <v>255</v>
      </c>
      <c r="I62" s="33">
        <v>1</v>
      </c>
    </row>
    <row r="63" spans="1:9" x14ac:dyDescent="0.25">
      <c r="A63" s="42" t="s">
        <v>142</v>
      </c>
    </row>
    <row r="64" spans="1:9" x14ac:dyDescent="0.25">
      <c r="A64" s="43" t="s">
        <v>142</v>
      </c>
    </row>
    <row r="65" spans="1:1" x14ac:dyDescent="0.25">
      <c r="A65" s="42" t="s">
        <v>41</v>
      </c>
    </row>
    <row r="66" spans="1:1" x14ac:dyDescent="0.25">
      <c r="A66" s="43" t="s">
        <v>41</v>
      </c>
    </row>
    <row r="67" spans="1:1" x14ac:dyDescent="0.25">
      <c r="A67" s="42" t="s">
        <v>142</v>
      </c>
    </row>
    <row r="68" spans="1:1" x14ac:dyDescent="0.25">
      <c r="A68" s="43" t="s">
        <v>41</v>
      </c>
    </row>
    <row r="69" spans="1:1" x14ac:dyDescent="0.25">
      <c r="A69" s="42" t="s">
        <v>41</v>
      </c>
    </row>
    <row r="70" spans="1:1" x14ac:dyDescent="0.25">
      <c r="A70" s="44" t="s">
        <v>142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32"/>
  <sheetViews>
    <sheetView topLeftCell="F98" zoomScaleNormal="100" workbookViewId="0">
      <selection activeCell="L107" sqref="L107:M112"/>
    </sheetView>
  </sheetViews>
  <sheetFormatPr defaultColWidth="11.5546875" defaultRowHeight="13.2" x14ac:dyDescent="0.25"/>
  <cols>
    <col min="8" max="8" width="18" customWidth="1"/>
    <col min="9" max="9" width="20.6640625" customWidth="1"/>
    <col min="10" max="10" width="16.109375" customWidth="1"/>
    <col min="11" max="11" width="18" customWidth="1"/>
    <col min="12" max="12" width="16.109375" bestFit="1" customWidth="1"/>
    <col min="13" max="13" width="20.21875" bestFit="1" customWidth="1"/>
  </cols>
  <sheetData>
    <row r="1" spans="1:11" x14ac:dyDescent="0.25">
      <c r="A1" s="9" t="s">
        <v>40</v>
      </c>
      <c r="B1" s="9" t="s">
        <v>44</v>
      </c>
      <c r="C1" s="9" t="s">
        <v>41</v>
      </c>
      <c r="E1" s="9" t="s">
        <v>42</v>
      </c>
      <c r="F1" s="9" t="s">
        <v>44</v>
      </c>
      <c r="H1" s="14" t="s">
        <v>259</v>
      </c>
      <c r="I1" s="14" t="s">
        <v>257</v>
      </c>
      <c r="J1" s="12"/>
      <c r="K1" s="13"/>
    </row>
    <row r="2" spans="1:11" x14ac:dyDescent="0.25">
      <c r="A2" s="10" t="s">
        <v>56</v>
      </c>
      <c r="B2" s="10" t="s">
        <v>44</v>
      </c>
      <c r="C2" s="10" t="s">
        <v>41</v>
      </c>
      <c r="E2" s="10" t="s">
        <v>57</v>
      </c>
      <c r="F2" s="10" t="s">
        <v>44</v>
      </c>
      <c r="H2" s="14" t="s">
        <v>253</v>
      </c>
      <c r="I2" s="11" t="s">
        <v>46</v>
      </c>
      <c r="J2" s="21" t="s">
        <v>44</v>
      </c>
      <c r="K2" s="15" t="s">
        <v>255</v>
      </c>
    </row>
    <row r="3" spans="1:11" x14ac:dyDescent="0.25">
      <c r="A3" s="9" t="s">
        <v>56</v>
      </c>
      <c r="B3" s="9" t="s">
        <v>44</v>
      </c>
      <c r="C3" s="9" t="s">
        <v>142</v>
      </c>
      <c r="E3" s="9" t="s">
        <v>57</v>
      </c>
      <c r="F3" s="9" t="s">
        <v>44</v>
      </c>
      <c r="H3" s="16" t="s">
        <v>57</v>
      </c>
      <c r="I3" s="25">
        <v>3.2258064516129031E-2</v>
      </c>
      <c r="J3" s="26">
        <v>0.61290322580645162</v>
      </c>
      <c r="K3" s="27">
        <v>0.64516129032258063</v>
      </c>
    </row>
    <row r="4" spans="1:11" x14ac:dyDescent="0.25">
      <c r="A4" s="10" t="s">
        <v>77</v>
      </c>
      <c r="B4" s="10" t="s">
        <v>44</v>
      </c>
      <c r="C4" s="10" t="s">
        <v>41</v>
      </c>
      <c r="E4" s="10" t="s">
        <v>57</v>
      </c>
      <c r="F4" s="10" t="s">
        <v>44</v>
      </c>
      <c r="H4" s="17" t="s">
        <v>42</v>
      </c>
      <c r="I4" s="28">
        <v>6.4516129032258063E-2</v>
      </c>
      <c r="J4" s="29">
        <v>6.4516129032258063E-2</v>
      </c>
      <c r="K4" s="30">
        <v>0.12903225806451613</v>
      </c>
    </row>
    <row r="5" spans="1:11" x14ac:dyDescent="0.25">
      <c r="A5" s="9" t="s">
        <v>40</v>
      </c>
      <c r="B5" s="9" t="s">
        <v>44</v>
      </c>
      <c r="C5" s="9" t="s">
        <v>142</v>
      </c>
      <c r="E5" s="9" t="s">
        <v>57</v>
      </c>
      <c r="F5" s="9" t="s">
        <v>44</v>
      </c>
      <c r="H5" s="17" t="s">
        <v>130</v>
      </c>
      <c r="I5" s="28">
        <v>3.2258064516129031E-2</v>
      </c>
      <c r="J5" s="29">
        <v>0.16129032258064516</v>
      </c>
      <c r="K5" s="30">
        <v>0.19354838709677419</v>
      </c>
    </row>
    <row r="6" spans="1:11" x14ac:dyDescent="0.25">
      <c r="A6" s="10" t="s">
        <v>96</v>
      </c>
      <c r="B6" s="10" t="s">
        <v>44</v>
      </c>
      <c r="C6" s="10" t="s">
        <v>41</v>
      </c>
      <c r="E6" s="10" t="s">
        <v>57</v>
      </c>
      <c r="F6" s="10" t="s">
        <v>44</v>
      </c>
      <c r="H6" s="17" t="s">
        <v>174</v>
      </c>
      <c r="I6" s="28">
        <v>0</v>
      </c>
      <c r="J6" s="29">
        <v>3.2258064516129031E-2</v>
      </c>
      <c r="K6" s="30">
        <v>3.2258064516129031E-2</v>
      </c>
    </row>
    <row r="7" spans="1:11" x14ac:dyDescent="0.25">
      <c r="A7" s="9" t="s">
        <v>77</v>
      </c>
      <c r="B7" s="9" t="s">
        <v>44</v>
      </c>
      <c r="C7" s="9" t="s">
        <v>41</v>
      </c>
      <c r="E7" s="9" t="s">
        <v>57</v>
      </c>
      <c r="F7" s="9" t="s">
        <v>44</v>
      </c>
      <c r="H7" s="19" t="s">
        <v>255</v>
      </c>
      <c r="I7" s="31">
        <v>0.12903225806451613</v>
      </c>
      <c r="J7" s="32">
        <v>0.87096774193548387</v>
      </c>
      <c r="K7" s="33">
        <v>1</v>
      </c>
    </row>
    <row r="8" spans="1:11" x14ac:dyDescent="0.25">
      <c r="A8" s="10" t="s">
        <v>77</v>
      </c>
      <c r="B8" s="10" t="s">
        <v>44</v>
      </c>
      <c r="C8" s="10" t="s">
        <v>41</v>
      </c>
      <c r="E8" s="10" t="s">
        <v>57</v>
      </c>
      <c r="F8" s="10" t="s">
        <v>44</v>
      </c>
    </row>
    <row r="9" spans="1:11" x14ac:dyDescent="0.25">
      <c r="A9" s="9" t="s">
        <v>96</v>
      </c>
      <c r="B9" s="9" t="s">
        <v>44</v>
      </c>
      <c r="C9" s="9" t="s">
        <v>142</v>
      </c>
      <c r="E9" s="9" t="s">
        <v>57</v>
      </c>
      <c r="F9" s="9" t="s">
        <v>44</v>
      </c>
    </row>
    <row r="10" spans="1:11" x14ac:dyDescent="0.25">
      <c r="A10" s="10" t="s">
        <v>56</v>
      </c>
      <c r="B10" s="10" t="s">
        <v>44</v>
      </c>
      <c r="C10" s="10" t="s">
        <v>41</v>
      </c>
      <c r="E10" s="10" t="s">
        <v>130</v>
      </c>
      <c r="F10" s="10" t="s">
        <v>44</v>
      </c>
    </row>
    <row r="11" spans="1:11" x14ac:dyDescent="0.25">
      <c r="A11" s="9" t="s">
        <v>56</v>
      </c>
      <c r="B11" s="9" t="s">
        <v>46</v>
      </c>
      <c r="C11" s="9" t="s">
        <v>41</v>
      </c>
      <c r="E11" s="9" t="s">
        <v>42</v>
      </c>
      <c r="F11" s="9" t="s">
        <v>46</v>
      </c>
    </row>
    <row r="12" spans="1:11" x14ac:dyDescent="0.25">
      <c r="A12" s="10" t="s">
        <v>96</v>
      </c>
      <c r="B12" s="10" t="s">
        <v>44</v>
      </c>
      <c r="C12" s="10" t="s">
        <v>142</v>
      </c>
      <c r="E12" s="10" t="s">
        <v>57</v>
      </c>
      <c r="F12" s="10" t="s">
        <v>44</v>
      </c>
    </row>
    <row r="13" spans="1:11" x14ac:dyDescent="0.25">
      <c r="A13" s="9" t="s">
        <v>40</v>
      </c>
      <c r="B13" s="9" t="s">
        <v>44</v>
      </c>
      <c r="C13" s="9" t="s">
        <v>142</v>
      </c>
      <c r="E13" s="9" t="s">
        <v>57</v>
      </c>
      <c r="F13" s="9" t="s">
        <v>44</v>
      </c>
    </row>
    <row r="14" spans="1:11" x14ac:dyDescent="0.25">
      <c r="A14" s="10" t="s">
        <v>77</v>
      </c>
      <c r="B14" s="10" t="s">
        <v>44</v>
      </c>
      <c r="C14" s="10" t="s">
        <v>142</v>
      </c>
      <c r="E14" s="10" t="s">
        <v>130</v>
      </c>
      <c r="F14" s="10" t="s">
        <v>44</v>
      </c>
    </row>
    <row r="15" spans="1:11" x14ac:dyDescent="0.25">
      <c r="A15" s="9" t="s">
        <v>96</v>
      </c>
      <c r="B15" s="9" t="s">
        <v>46</v>
      </c>
      <c r="C15" s="9" t="s">
        <v>41</v>
      </c>
      <c r="E15" s="9" t="s">
        <v>42</v>
      </c>
      <c r="F15" s="9" t="s">
        <v>46</v>
      </c>
    </row>
    <row r="16" spans="1:11" x14ac:dyDescent="0.25">
      <c r="A16" s="10" t="s">
        <v>77</v>
      </c>
      <c r="B16" s="10" t="s">
        <v>44</v>
      </c>
      <c r="C16" s="10" t="s">
        <v>41</v>
      </c>
      <c r="E16" s="10" t="s">
        <v>130</v>
      </c>
      <c r="F16" s="10" t="s">
        <v>44</v>
      </c>
    </row>
    <row r="17" spans="1:11" x14ac:dyDescent="0.25">
      <c r="A17" s="9" t="s">
        <v>77</v>
      </c>
      <c r="B17" s="9" t="s">
        <v>44</v>
      </c>
      <c r="C17" s="9" t="s">
        <v>41</v>
      </c>
      <c r="E17" s="9" t="s">
        <v>57</v>
      </c>
      <c r="F17" s="9" t="s">
        <v>44</v>
      </c>
    </row>
    <row r="18" spans="1:11" x14ac:dyDescent="0.25">
      <c r="A18" s="10" t="s">
        <v>96</v>
      </c>
      <c r="B18" s="10" t="s">
        <v>44</v>
      </c>
      <c r="C18" s="10" t="s">
        <v>41</v>
      </c>
      <c r="E18" s="10" t="s">
        <v>42</v>
      </c>
      <c r="F18" s="10" t="s">
        <v>44</v>
      </c>
    </row>
    <row r="19" spans="1:11" x14ac:dyDescent="0.25">
      <c r="A19" s="9" t="s">
        <v>96</v>
      </c>
      <c r="B19" s="9" t="s">
        <v>44</v>
      </c>
      <c r="C19" s="9" t="s">
        <v>142</v>
      </c>
      <c r="E19" s="9" t="s">
        <v>174</v>
      </c>
      <c r="F19" s="9" t="s">
        <v>44</v>
      </c>
    </row>
    <row r="20" spans="1:11" x14ac:dyDescent="0.25">
      <c r="A20" s="10" t="s">
        <v>40</v>
      </c>
      <c r="B20" s="10" t="s">
        <v>44</v>
      </c>
      <c r="C20" s="10" t="s">
        <v>41</v>
      </c>
      <c r="E20" s="10" t="s">
        <v>57</v>
      </c>
      <c r="F20" s="10" t="s">
        <v>44</v>
      </c>
    </row>
    <row r="21" spans="1:11" x14ac:dyDescent="0.25">
      <c r="A21" s="9" t="s">
        <v>96</v>
      </c>
      <c r="B21" s="9" t="s">
        <v>46</v>
      </c>
      <c r="C21" s="9" t="s">
        <v>41</v>
      </c>
      <c r="E21" s="9" t="s">
        <v>130</v>
      </c>
      <c r="F21" s="9" t="s">
        <v>46</v>
      </c>
    </row>
    <row r="22" spans="1:11" x14ac:dyDescent="0.25">
      <c r="A22" s="10" t="s">
        <v>56</v>
      </c>
      <c r="B22" s="10" t="s">
        <v>44</v>
      </c>
      <c r="C22" s="10" t="s">
        <v>41</v>
      </c>
      <c r="E22" s="10" t="s">
        <v>57</v>
      </c>
      <c r="F22" s="10" t="s">
        <v>44</v>
      </c>
    </row>
    <row r="23" spans="1:11" x14ac:dyDescent="0.25">
      <c r="A23" s="9" t="s">
        <v>77</v>
      </c>
      <c r="B23" s="9" t="s">
        <v>44</v>
      </c>
      <c r="C23" s="9" t="s">
        <v>41</v>
      </c>
      <c r="E23" s="9" t="s">
        <v>57</v>
      </c>
      <c r="F23" s="9" t="s">
        <v>44</v>
      </c>
    </row>
    <row r="24" spans="1:11" x14ac:dyDescent="0.25">
      <c r="A24" s="10" t="s">
        <v>40</v>
      </c>
      <c r="B24" s="10" t="s">
        <v>44</v>
      </c>
      <c r="C24" s="10" t="s">
        <v>41</v>
      </c>
      <c r="E24" s="10" t="s">
        <v>57</v>
      </c>
      <c r="F24" s="10" t="s">
        <v>44</v>
      </c>
    </row>
    <row r="25" spans="1:11" x14ac:dyDescent="0.25">
      <c r="A25" s="9" t="s">
        <v>77</v>
      </c>
      <c r="B25" s="9" t="s">
        <v>44</v>
      </c>
      <c r="C25" s="9" t="s">
        <v>142</v>
      </c>
      <c r="E25" s="9" t="s">
        <v>57</v>
      </c>
      <c r="F25" s="9" t="s">
        <v>44</v>
      </c>
    </row>
    <row r="26" spans="1:11" x14ac:dyDescent="0.25">
      <c r="A26" s="10" t="s">
        <v>214</v>
      </c>
      <c r="B26" s="10" t="s">
        <v>44</v>
      </c>
      <c r="C26" s="10" t="s">
        <v>142</v>
      </c>
      <c r="E26" s="10" t="s">
        <v>130</v>
      </c>
      <c r="F26" s="10" t="s">
        <v>44</v>
      </c>
    </row>
    <row r="27" spans="1:11" ht="26.4" x14ac:dyDescent="0.25">
      <c r="A27" s="9" t="s">
        <v>219</v>
      </c>
      <c r="B27" s="9" t="s">
        <v>46</v>
      </c>
      <c r="C27" s="9" t="s">
        <v>41</v>
      </c>
      <c r="E27" s="9" t="s">
        <v>57</v>
      </c>
      <c r="F27" s="9" t="s">
        <v>46</v>
      </c>
    </row>
    <row r="28" spans="1:11" x14ac:dyDescent="0.25">
      <c r="A28" s="10" t="s">
        <v>77</v>
      </c>
      <c r="B28" s="10" t="s">
        <v>44</v>
      </c>
      <c r="C28" s="10" t="s">
        <v>41</v>
      </c>
      <c r="E28" s="10" t="s">
        <v>57</v>
      </c>
      <c r="F28" s="10" t="s">
        <v>44</v>
      </c>
      <c r="H28" s="14" t="s">
        <v>260</v>
      </c>
      <c r="I28" s="14" t="s">
        <v>257</v>
      </c>
      <c r="J28" s="12"/>
      <c r="K28" s="13"/>
    </row>
    <row r="29" spans="1:11" x14ac:dyDescent="0.25">
      <c r="A29" s="9" t="s">
        <v>77</v>
      </c>
      <c r="B29" s="9" t="s">
        <v>44</v>
      </c>
      <c r="C29" s="9" t="s">
        <v>142</v>
      </c>
      <c r="E29" s="9" t="s">
        <v>57</v>
      </c>
      <c r="F29" s="9" t="s">
        <v>44</v>
      </c>
      <c r="H29" s="14" t="s">
        <v>253</v>
      </c>
      <c r="I29" s="11" t="s">
        <v>46</v>
      </c>
      <c r="J29" s="21" t="s">
        <v>44</v>
      </c>
      <c r="K29" s="15" t="s">
        <v>255</v>
      </c>
    </row>
    <row r="30" spans="1:11" x14ac:dyDescent="0.25">
      <c r="A30" s="10" t="s">
        <v>40</v>
      </c>
      <c r="B30" s="10" t="s">
        <v>44</v>
      </c>
      <c r="C30" s="10" t="s">
        <v>41</v>
      </c>
      <c r="E30" s="10" t="s">
        <v>130</v>
      </c>
      <c r="F30" s="10" t="s">
        <v>44</v>
      </c>
      <c r="H30" s="16" t="s">
        <v>41</v>
      </c>
      <c r="I30" s="25">
        <v>0.12903225806451613</v>
      </c>
      <c r="J30" s="26">
        <v>0.5161290322580645</v>
      </c>
      <c r="K30" s="27">
        <v>0.64516129032258063</v>
      </c>
    </row>
    <row r="31" spans="1:11" x14ac:dyDescent="0.25">
      <c r="A31" s="9" t="s">
        <v>77</v>
      </c>
      <c r="B31" s="9" t="s">
        <v>44</v>
      </c>
      <c r="C31" s="9" t="s">
        <v>41</v>
      </c>
      <c r="E31" s="9" t="s">
        <v>42</v>
      </c>
      <c r="F31" s="9" t="s">
        <v>44</v>
      </c>
      <c r="H31" s="17" t="s">
        <v>142</v>
      </c>
      <c r="I31" s="28">
        <v>0</v>
      </c>
      <c r="J31" s="29">
        <v>0.35483870967741937</v>
      </c>
      <c r="K31" s="30">
        <v>0.35483870967741937</v>
      </c>
    </row>
    <row r="32" spans="1:11" x14ac:dyDescent="0.25">
      <c r="A32" s="8" t="s">
        <v>77</v>
      </c>
      <c r="B32" s="8" t="s">
        <v>44</v>
      </c>
      <c r="C32" s="8" t="s">
        <v>142</v>
      </c>
      <c r="E32" s="8" t="s">
        <v>57</v>
      </c>
      <c r="F32" s="8" t="s">
        <v>44</v>
      </c>
      <c r="H32" s="19" t="s">
        <v>255</v>
      </c>
      <c r="I32" s="31">
        <v>0.12903225806451613</v>
      </c>
      <c r="J32" s="32">
        <v>0.87096774193548387</v>
      </c>
      <c r="K32" s="33">
        <v>1</v>
      </c>
    </row>
    <row r="56" spans="1:12" x14ac:dyDescent="0.25">
      <c r="A56" s="9" t="s">
        <v>40</v>
      </c>
      <c r="B56" s="9" t="s">
        <v>39</v>
      </c>
      <c r="F56" s="42" t="s">
        <v>43</v>
      </c>
      <c r="G56" s="42" t="s">
        <v>38</v>
      </c>
      <c r="I56" s="42" t="s">
        <v>76</v>
      </c>
      <c r="K56" s="14" t="s">
        <v>253</v>
      </c>
      <c r="L56" s="15" t="s">
        <v>266</v>
      </c>
    </row>
    <row r="57" spans="1:12" ht="52.8" x14ac:dyDescent="0.25">
      <c r="A57" s="10" t="s">
        <v>56</v>
      </c>
      <c r="B57" s="10" t="s">
        <v>55</v>
      </c>
      <c r="F57" s="43" t="s">
        <v>58</v>
      </c>
      <c r="G57" s="43" t="s">
        <v>38</v>
      </c>
      <c r="I57" s="43" t="s">
        <v>65</v>
      </c>
      <c r="K57" s="16" t="s">
        <v>86</v>
      </c>
      <c r="L57" s="27">
        <v>0.25806451612903225</v>
      </c>
    </row>
    <row r="58" spans="1:12" ht="52.8" x14ac:dyDescent="0.25">
      <c r="A58" s="9" t="s">
        <v>56</v>
      </c>
      <c r="B58" s="9" t="s">
        <v>66</v>
      </c>
      <c r="F58" s="42" t="s">
        <v>58</v>
      </c>
      <c r="G58" s="42" t="s">
        <v>38</v>
      </c>
      <c r="I58" s="42" t="s">
        <v>65</v>
      </c>
      <c r="K58" s="17" t="s">
        <v>76</v>
      </c>
      <c r="L58" s="30">
        <v>0.16129032258064516</v>
      </c>
    </row>
    <row r="59" spans="1:12" ht="52.8" x14ac:dyDescent="0.25">
      <c r="A59" s="10" t="s">
        <v>77</v>
      </c>
      <c r="B59" s="10" t="s">
        <v>39</v>
      </c>
      <c r="F59" s="43" t="s">
        <v>58</v>
      </c>
      <c r="G59" s="43" t="s">
        <v>38</v>
      </c>
      <c r="I59" s="43" t="s">
        <v>76</v>
      </c>
      <c r="K59" s="17" t="s">
        <v>65</v>
      </c>
      <c r="L59" s="30">
        <v>0.58064516129032262</v>
      </c>
    </row>
    <row r="60" spans="1:12" ht="52.8" x14ac:dyDescent="0.25">
      <c r="A60" s="9" t="s">
        <v>40</v>
      </c>
      <c r="B60" s="9" t="s">
        <v>87</v>
      </c>
      <c r="F60" s="42" t="s">
        <v>58</v>
      </c>
      <c r="G60" s="42" t="s">
        <v>38</v>
      </c>
      <c r="I60" s="42" t="s">
        <v>86</v>
      </c>
      <c r="K60" s="19" t="s">
        <v>255</v>
      </c>
      <c r="L60" s="33">
        <v>1</v>
      </c>
    </row>
    <row r="61" spans="1:12" ht="52.8" x14ac:dyDescent="0.25">
      <c r="A61" s="10" t="s">
        <v>96</v>
      </c>
      <c r="B61" s="10" t="s">
        <v>39</v>
      </c>
      <c r="F61" s="43" t="s">
        <v>58</v>
      </c>
      <c r="G61" s="43" t="s">
        <v>38</v>
      </c>
      <c r="I61" s="43" t="s">
        <v>76</v>
      </c>
    </row>
    <row r="62" spans="1:12" ht="52.8" x14ac:dyDescent="0.25">
      <c r="A62" s="9" t="s">
        <v>77</v>
      </c>
      <c r="B62" s="9" t="s">
        <v>107</v>
      </c>
      <c r="F62" s="42" t="s">
        <v>58</v>
      </c>
      <c r="G62" s="42" t="s">
        <v>38</v>
      </c>
      <c r="I62" s="42" t="s">
        <v>65</v>
      </c>
    </row>
    <row r="63" spans="1:12" ht="52.8" x14ac:dyDescent="0.25">
      <c r="A63" s="10" t="s">
        <v>77</v>
      </c>
      <c r="B63" s="10" t="s">
        <v>107</v>
      </c>
      <c r="F63" s="43" t="s">
        <v>58</v>
      </c>
      <c r="G63" s="43" t="s">
        <v>38</v>
      </c>
      <c r="I63" s="43" t="s">
        <v>65</v>
      </c>
    </row>
    <row r="64" spans="1:12" x14ac:dyDescent="0.25">
      <c r="A64" s="9" t="s">
        <v>96</v>
      </c>
      <c r="B64" s="9" t="s">
        <v>87</v>
      </c>
      <c r="F64" s="42" t="s">
        <v>43</v>
      </c>
      <c r="G64" s="42" t="s">
        <v>38</v>
      </c>
      <c r="I64" s="42" t="s">
        <v>65</v>
      </c>
    </row>
    <row r="65" spans="1:9" ht="52.8" x14ac:dyDescent="0.25">
      <c r="A65" s="10" t="s">
        <v>56</v>
      </c>
      <c r="B65" s="10" t="s">
        <v>129</v>
      </c>
      <c r="F65" s="43" t="s">
        <v>58</v>
      </c>
      <c r="G65" s="43" t="s">
        <v>128</v>
      </c>
      <c r="I65" s="43" t="s">
        <v>65</v>
      </c>
    </row>
    <row r="66" spans="1:9" ht="52.8" x14ac:dyDescent="0.25">
      <c r="A66" s="9" t="s">
        <v>56</v>
      </c>
      <c r="B66" s="9" t="s">
        <v>87</v>
      </c>
      <c r="F66" s="42" t="s">
        <v>58</v>
      </c>
      <c r="G66" s="42" t="s">
        <v>38</v>
      </c>
      <c r="I66" s="42" t="s">
        <v>76</v>
      </c>
    </row>
    <row r="67" spans="1:9" ht="52.8" x14ac:dyDescent="0.25">
      <c r="A67" s="10" t="s">
        <v>96</v>
      </c>
      <c r="B67" s="10" t="s">
        <v>107</v>
      </c>
      <c r="F67" s="43" t="s">
        <v>58</v>
      </c>
      <c r="G67" s="43" t="s">
        <v>38</v>
      </c>
      <c r="I67" s="43" t="s">
        <v>65</v>
      </c>
    </row>
    <row r="68" spans="1:9" ht="52.8" x14ac:dyDescent="0.25">
      <c r="A68" s="9" t="s">
        <v>40</v>
      </c>
      <c r="B68" s="9" t="s">
        <v>87</v>
      </c>
      <c r="F68" s="42" t="s">
        <v>58</v>
      </c>
      <c r="G68" s="42" t="s">
        <v>38</v>
      </c>
      <c r="I68" s="42" t="s">
        <v>65</v>
      </c>
    </row>
    <row r="69" spans="1:9" x14ac:dyDescent="0.25">
      <c r="A69" s="10" t="s">
        <v>77</v>
      </c>
      <c r="B69" s="10" t="s">
        <v>55</v>
      </c>
      <c r="F69" s="43" t="s">
        <v>43</v>
      </c>
      <c r="G69" s="43" t="s">
        <v>38</v>
      </c>
      <c r="I69" s="43" t="s">
        <v>153</v>
      </c>
    </row>
    <row r="70" spans="1:9" ht="52.8" x14ac:dyDescent="0.25">
      <c r="A70" s="9" t="s">
        <v>96</v>
      </c>
      <c r="B70" s="9" t="s">
        <v>161</v>
      </c>
      <c r="F70" s="42" t="s">
        <v>58</v>
      </c>
      <c r="G70" s="42" t="s">
        <v>38</v>
      </c>
      <c r="I70" s="42" t="s">
        <v>153</v>
      </c>
    </row>
    <row r="71" spans="1:9" ht="26.4" x14ac:dyDescent="0.25">
      <c r="A71" s="10" t="s">
        <v>77</v>
      </c>
      <c r="B71" s="10" t="s">
        <v>161</v>
      </c>
      <c r="F71" s="43" t="s">
        <v>43</v>
      </c>
      <c r="G71" s="43" t="s">
        <v>38</v>
      </c>
      <c r="I71" s="43" t="s">
        <v>153</v>
      </c>
    </row>
    <row r="72" spans="1:9" ht="26.4" x14ac:dyDescent="0.25">
      <c r="A72" s="9" t="s">
        <v>77</v>
      </c>
      <c r="B72" s="9" t="s">
        <v>161</v>
      </c>
      <c r="F72" s="42" t="s">
        <v>43</v>
      </c>
      <c r="G72" s="42" t="s">
        <v>38</v>
      </c>
      <c r="I72" s="42" t="s">
        <v>153</v>
      </c>
    </row>
    <row r="73" spans="1:9" ht="26.4" x14ac:dyDescent="0.25">
      <c r="A73" s="10" t="s">
        <v>96</v>
      </c>
      <c r="B73" s="10" t="s">
        <v>161</v>
      </c>
      <c r="F73" s="43" t="s">
        <v>43</v>
      </c>
      <c r="G73" s="43" t="s">
        <v>38</v>
      </c>
      <c r="I73" s="43" t="s">
        <v>86</v>
      </c>
    </row>
    <row r="74" spans="1:9" x14ac:dyDescent="0.25">
      <c r="A74" s="9" t="s">
        <v>96</v>
      </c>
      <c r="B74" s="9" t="s">
        <v>107</v>
      </c>
      <c r="F74" s="42" t="s">
        <v>43</v>
      </c>
      <c r="G74" s="42" t="s">
        <v>38</v>
      </c>
      <c r="I74" s="42" t="s">
        <v>153</v>
      </c>
    </row>
    <row r="75" spans="1:9" ht="52.8" x14ac:dyDescent="0.25">
      <c r="A75" s="10" t="s">
        <v>40</v>
      </c>
      <c r="B75" s="10" t="s">
        <v>39</v>
      </c>
      <c r="F75" s="43" t="s">
        <v>58</v>
      </c>
      <c r="G75" s="43" t="s">
        <v>38</v>
      </c>
      <c r="I75" s="43" t="s">
        <v>65</v>
      </c>
    </row>
    <row r="76" spans="1:9" ht="52.8" x14ac:dyDescent="0.25">
      <c r="A76" s="9" t="s">
        <v>96</v>
      </c>
      <c r="B76" s="9" t="s">
        <v>129</v>
      </c>
      <c r="F76" s="42" t="s">
        <v>58</v>
      </c>
      <c r="G76" s="42" t="s">
        <v>38</v>
      </c>
      <c r="I76" s="42" t="s">
        <v>65</v>
      </c>
    </row>
    <row r="77" spans="1:9" ht="52.8" x14ac:dyDescent="0.25">
      <c r="A77" s="10" t="s">
        <v>56</v>
      </c>
      <c r="B77" s="10" t="s">
        <v>39</v>
      </c>
      <c r="F77" s="43" t="s">
        <v>58</v>
      </c>
      <c r="G77" s="43" t="s">
        <v>38</v>
      </c>
      <c r="I77" s="43" t="s">
        <v>65</v>
      </c>
    </row>
    <row r="78" spans="1:9" x14ac:dyDescent="0.25">
      <c r="A78" s="9" t="s">
        <v>77</v>
      </c>
      <c r="B78" s="9" t="s">
        <v>87</v>
      </c>
      <c r="F78" s="42" t="s">
        <v>43</v>
      </c>
      <c r="G78" s="42" t="s">
        <v>128</v>
      </c>
      <c r="I78" s="42" t="s">
        <v>65</v>
      </c>
    </row>
    <row r="79" spans="1:9" ht="52.8" x14ac:dyDescent="0.25">
      <c r="A79" s="10" t="s">
        <v>40</v>
      </c>
      <c r="B79" s="10" t="s">
        <v>39</v>
      </c>
      <c r="F79" s="43" t="s">
        <v>58</v>
      </c>
      <c r="G79" s="43" t="s">
        <v>38</v>
      </c>
      <c r="I79" s="43" t="s">
        <v>65</v>
      </c>
    </row>
    <row r="80" spans="1:9" x14ac:dyDescent="0.25">
      <c r="A80" s="9" t="s">
        <v>77</v>
      </c>
      <c r="B80" s="9" t="s">
        <v>107</v>
      </c>
      <c r="F80" s="42" t="s">
        <v>43</v>
      </c>
      <c r="G80" s="42" t="s">
        <v>38</v>
      </c>
      <c r="I80" s="42" t="s">
        <v>65</v>
      </c>
    </row>
    <row r="81" spans="1:11" ht="52.8" x14ac:dyDescent="0.25">
      <c r="A81" s="10" t="s">
        <v>214</v>
      </c>
      <c r="B81" s="10" t="s">
        <v>213</v>
      </c>
      <c r="F81" s="43" t="s">
        <v>58</v>
      </c>
      <c r="G81" s="43" t="s">
        <v>38</v>
      </c>
      <c r="I81" s="43" t="s">
        <v>76</v>
      </c>
    </row>
    <row r="82" spans="1:11" ht="39.6" x14ac:dyDescent="0.25">
      <c r="A82" s="9" t="s">
        <v>219</v>
      </c>
      <c r="B82" s="9" t="s">
        <v>39</v>
      </c>
      <c r="F82" s="42" t="s">
        <v>220</v>
      </c>
      <c r="G82" s="42" t="s">
        <v>38</v>
      </c>
      <c r="I82" s="42" t="s">
        <v>65</v>
      </c>
    </row>
    <row r="83" spans="1:11" ht="26.4" x14ac:dyDescent="0.25">
      <c r="A83" s="10" t="s">
        <v>77</v>
      </c>
      <c r="B83" s="10" t="s">
        <v>129</v>
      </c>
      <c r="F83" s="43" t="s">
        <v>43</v>
      </c>
      <c r="G83" s="43" t="s">
        <v>38</v>
      </c>
      <c r="I83" s="43" t="s">
        <v>65</v>
      </c>
    </row>
    <row r="84" spans="1:11" ht="52.8" x14ac:dyDescent="0.25">
      <c r="A84" s="9" t="s">
        <v>77</v>
      </c>
      <c r="B84" s="9" t="s">
        <v>107</v>
      </c>
      <c r="F84" s="42" t="s">
        <v>58</v>
      </c>
      <c r="G84" s="42" t="s">
        <v>128</v>
      </c>
      <c r="I84" s="42" t="s">
        <v>65</v>
      </c>
    </row>
    <row r="85" spans="1:11" x14ac:dyDescent="0.25">
      <c r="A85" s="10" t="s">
        <v>40</v>
      </c>
      <c r="B85" s="10" t="s">
        <v>213</v>
      </c>
      <c r="F85" s="43" t="s">
        <v>43</v>
      </c>
      <c r="G85" s="43" t="s">
        <v>38</v>
      </c>
      <c r="I85" s="43" t="s">
        <v>153</v>
      </c>
    </row>
    <row r="86" spans="1:11" ht="26.4" x14ac:dyDescent="0.25">
      <c r="A86" s="9" t="s">
        <v>77</v>
      </c>
      <c r="B86" s="9" t="s">
        <v>129</v>
      </c>
      <c r="F86" s="42" t="s">
        <v>43</v>
      </c>
      <c r="G86" s="42" t="s">
        <v>38</v>
      </c>
      <c r="I86" s="42" t="s">
        <v>76</v>
      </c>
    </row>
    <row r="87" spans="1:11" ht="52.8" x14ac:dyDescent="0.25">
      <c r="A87" s="8" t="s">
        <v>77</v>
      </c>
      <c r="B87" s="8" t="s">
        <v>39</v>
      </c>
      <c r="F87" s="44" t="s">
        <v>58</v>
      </c>
      <c r="G87" s="44" t="s">
        <v>38</v>
      </c>
      <c r="I87" s="44" t="s">
        <v>65</v>
      </c>
    </row>
    <row r="92" spans="1:11" x14ac:dyDescent="0.25">
      <c r="H92" s="42" t="s">
        <v>41</v>
      </c>
    </row>
    <row r="93" spans="1:11" x14ac:dyDescent="0.25">
      <c r="H93" s="43" t="s">
        <v>41</v>
      </c>
    </row>
    <row r="94" spans="1:11" x14ac:dyDescent="0.25">
      <c r="H94" s="42" t="s">
        <v>142</v>
      </c>
      <c r="J94" s="14" t="s">
        <v>253</v>
      </c>
      <c r="K94" s="15" t="s">
        <v>260</v>
      </c>
    </row>
    <row r="95" spans="1:11" x14ac:dyDescent="0.25">
      <c r="H95" s="43" t="s">
        <v>41</v>
      </c>
      <c r="J95" s="16" t="s">
        <v>41</v>
      </c>
      <c r="K95" s="27">
        <v>0.64516129032258063</v>
      </c>
    </row>
    <row r="96" spans="1:11" x14ac:dyDescent="0.25">
      <c r="H96" s="42" t="s">
        <v>142</v>
      </c>
      <c r="J96" s="17" t="s">
        <v>142</v>
      </c>
      <c r="K96" s="30">
        <v>0.35483870967741937</v>
      </c>
    </row>
    <row r="97" spans="8:13" x14ac:dyDescent="0.25">
      <c r="H97" s="43" t="s">
        <v>41</v>
      </c>
      <c r="J97" s="19" t="s">
        <v>255</v>
      </c>
      <c r="K97" s="33">
        <v>1</v>
      </c>
    </row>
    <row r="98" spans="8:13" x14ac:dyDescent="0.25">
      <c r="H98" s="42" t="s">
        <v>41</v>
      </c>
    </row>
    <row r="99" spans="8:13" x14ac:dyDescent="0.25">
      <c r="H99" s="43" t="s">
        <v>41</v>
      </c>
    </row>
    <row r="100" spans="8:13" x14ac:dyDescent="0.25">
      <c r="H100" s="42" t="s">
        <v>142</v>
      </c>
    </row>
    <row r="101" spans="8:13" x14ac:dyDescent="0.25">
      <c r="H101" s="43" t="s">
        <v>41</v>
      </c>
      <c r="J101" s="42" t="s">
        <v>42</v>
      </c>
    </row>
    <row r="102" spans="8:13" x14ac:dyDescent="0.25">
      <c r="H102" s="42" t="s">
        <v>41</v>
      </c>
      <c r="J102" s="43" t="s">
        <v>57</v>
      </c>
    </row>
    <row r="103" spans="8:13" x14ac:dyDescent="0.25">
      <c r="H103" s="43" t="s">
        <v>142</v>
      </c>
      <c r="J103" s="42" t="s">
        <v>57</v>
      </c>
    </row>
    <row r="104" spans="8:13" x14ac:dyDescent="0.25">
      <c r="H104" s="42" t="s">
        <v>142</v>
      </c>
      <c r="J104" s="43" t="s">
        <v>57</v>
      </c>
    </row>
    <row r="105" spans="8:13" x14ac:dyDescent="0.25">
      <c r="H105" s="43" t="s">
        <v>142</v>
      </c>
      <c r="J105" s="42" t="s">
        <v>57</v>
      </c>
    </row>
    <row r="106" spans="8:13" x14ac:dyDescent="0.25">
      <c r="H106" s="42" t="s">
        <v>41</v>
      </c>
      <c r="J106" s="43" t="s">
        <v>57</v>
      </c>
    </row>
    <row r="107" spans="8:13" x14ac:dyDescent="0.25">
      <c r="H107" s="43" t="s">
        <v>41</v>
      </c>
      <c r="J107" s="42" t="s">
        <v>57</v>
      </c>
      <c r="L107" s="14" t="s">
        <v>253</v>
      </c>
      <c r="M107" s="15" t="s">
        <v>259</v>
      </c>
    </row>
    <row r="108" spans="8:13" x14ac:dyDescent="0.25">
      <c r="H108" s="42" t="s">
        <v>41</v>
      </c>
      <c r="J108" s="43" t="s">
        <v>57</v>
      </c>
      <c r="L108" s="16" t="s">
        <v>57</v>
      </c>
      <c r="M108" s="27">
        <v>0.64516129032258063</v>
      </c>
    </row>
    <row r="109" spans="8:13" x14ac:dyDescent="0.25">
      <c r="H109" s="43" t="s">
        <v>41</v>
      </c>
      <c r="J109" s="42" t="s">
        <v>57</v>
      </c>
      <c r="L109" s="17" t="s">
        <v>42</v>
      </c>
      <c r="M109" s="30">
        <v>0.12903225806451613</v>
      </c>
    </row>
    <row r="110" spans="8:13" x14ac:dyDescent="0.25">
      <c r="H110" s="42" t="s">
        <v>142</v>
      </c>
      <c r="J110" s="43" t="s">
        <v>130</v>
      </c>
      <c r="L110" s="17" t="s">
        <v>130</v>
      </c>
      <c r="M110" s="30">
        <v>0.19354838709677419</v>
      </c>
    </row>
    <row r="111" spans="8:13" x14ac:dyDescent="0.25">
      <c r="H111" s="43" t="s">
        <v>41</v>
      </c>
      <c r="J111" s="42" t="s">
        <v>42</v>
      </c>
      <c r="L111" s="17" t="s">
        <v>174</v>
      </c>
      <c r="M111" s="30">
        <v>3.2258064516129031E-2</v>
      </c>
    </row>
    <row r="112" spans="8:13" x14ac:dyDescent="0.25">
      <c r="H112" s="42" t="s">
        <v>41</v>
      </c>
      <c r="J112" s="43" t="s">
        <v>57</v>
      </c>
      <c r="L112" s="19" t="s">
        <v>255</v>
      </c>
      <c r="M112" s="33">
        <v>1</v>
      </c>
    </row>
    <row r="113" spans="8:10" x14ac:dyDescent="0.25">
      <c r="H113" s="43" t="s">
        <v>41</v>
      </c>
      <c r="J113" s="42" t="s">
        <v>57</v>
      </c>
    </row>
    <row r="114" spans="8:10" x14ac:dyDescent="0.25">
      <c r="H114" s="42" t="s">
        <v>41</v>
      </c>
      <c r="J114" s="43" t="s">
        <v>130</v>
      </c>
    </row>
    <row r="115" spans="8:10" x14ac:dyDescent="0.25">
      <c r="H115" s="43" t="s">
        <v>41</v>
      </c>
      <c r="J115" s="42" t="s">
        <v>42</v>
      </c>
    </row>
    <row r="116" spans="8:10" x14ac:dyDescent="0.25">
      <c r="H116" s="42" t="s">
        <v>142</v>
      </c>
      <c r="J116" s="43" t="s">
        <v>130</v>
      </c>
    </row>
    <row r="117" spans="8:10" x14ac:dyDescent="0.25">
      <c r="H117" s="43" t="s">
        <v>142</v>
      </c>
      <c r="J117" s="42" t="s">
        <v>57</v>
      </c>
    </row>
    <row r="118" spans="8:10" x14ac:dyDescent="0.25">
      <c r="H118" s="42" t="s">
        <v>41</v>
      </c>
      <c r="J118" s="43" t="s">
        <v>42</v>
      </c>
    </row>
    <row r="119" spans="8:10" x14ac:dyDescent="0.25">
      <c r="H119" s="43" t="s">
        <v>41</v>
      </c>
      <c r="J119" s="42" t="s">
        <v>174</v>
      </c>
    </row>
    <row r="120" spans="8:10" x14ac:dyDescent="0.25">
      <c r="H120" s="42" t="s">
        <v>142</v>
      </c>
      <c r="J120" s="43" t="s">
        <v>57</v>
      </c>
    </row>
    <row r="121" spans="8:10" x14ac:dyDescent="0.25">
      <c r="H121" s="43" t="s">
        <v>41</v>
      </c>
      <c r="J121" s="42" t="s">
        <v>130</v>
      </c>
    </row>
    <row r="122" spans="8:10" x14ac:dyDescent="0.25">
      <c r="H122" s="42" t="s">
        <v>41</v>
      </c>
      <c r="J122" s="43" t="s">
        <v>57</v>
      </c>
    </row>
    <row r="123" spans="8:10" x14ac:dyDescent="0.25">
      <c r="H123" s="44" t="s">
        <v>142</v>
      </c>
      <c r="J123" s="42" t="s">
        <v>57</v>
      </c>
    </row>
    <row r="124" spans="8:10" x14ac:dyDescent="0.25">
      <c r="J124" s="43" t="s">
        <v>57</v>
      </c>
    </row>
    <row r="125" spans="8:10" x14ac:dyDescent="0.25">
      <c r="J125" s="42" t="s">
        <v>57</v>
      </c>
    </row>
    <row r="126" spans="8:10" x14ac:dyDescent="0.25">
      <c r="J126" s="43" t="s">
        <v>130</v>
      </c>
    </row>
    <row r="127" spans="8:10" x14ac:dyDescent="0.25">
      <c r="J127" s="42" t="s">
        <v>57</v>
      </c>
    </row>
    <row r="128" spans="8:10" x14ac:dyDescent="0.25">
      <c r="J128" s="43" t="s">
        <v>57</v>
      </c>
    </row>
    <row r="129" spans="10:10" x14ac:dyDescent="0.25">
      <c r="J129" s="42" t="s">
        <v>57</v>
      </c>
    </row>
    <row r="130" spans="10:10" x14ac:dyDescent="0.25">
      <c r="J130" s="43" t="s">
        <v>130</v>
      </c>
    </row>
    <row r="131" spans="10:10" x14ac:dyDescent="0.25">
      <c r="J131" s="42" t="s">
        <v>42</v>
      </c>
    </row>
    <row r="132" spans="10:10" x14ac:dyDescent="0.25">
      <c r="J132" s="44" t="s">
        <v>57</v>
      </c>
    </row>
  </sheetData>
  <pageMargins left="0.7" right="0.7" top="0.75" bottom="0.75" header="0.3" footer="0.3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85D30-3AD2-4D33-918C-08A5849ECB71}">
  <dimension ref="A1:A7"/>
  <sheetViews>
    <sheetView workbookViewId="0">
      <selection activeCell="A7" sqref="A7"/>
    </sheetView>
  </sheetViews>
  <sheetFormatPr defaultRowHeight="13.2" x14ac:dyDescent="0.25"/>
  <cols>
    <col min="1" max="1" width="29.33203125" bestFit="1" customWidth="1"/>
  </cols>
  <sheetData>
    <row r="1" spans="1:1" x14ac:dyDescent="0.25">
      <c r="A1" s="63" t="s">
        <v>285</v>
      </c>
    </row>
    <row r="3" spans="1:1" x14ac:dyDescent="0.25">
      <c r="A3" t="s">
        <v>263</v>
      </c>
    </row>
    <row r="4" spans="1:1" x14ac:dyDescent="0.25">
      <c r="A4" t="s">
        <v>265</v>
      </c>
    </row>
    <row r="5" spans="1:1" x14ac:dyDescent="0.25">
      <c r="A5" t="s">
        <v>265</v>
      </c>
    </row>
    <row r="6" spans="1:1" x14ac:dyDescent="0.25">
      <c r="A6" t="s">
        <v>265</v>
      </c>
    </row>
    <row r="7" spans="1:1" x14ac:dyDescent="0.25">
      <c r="A7" t="s">
        <v>265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5D51B-F0CA-4870-B24D-2D86B66AAF88}">
  <dimension ref="A1:A7"/>
  <sheetViews>
    <sheetView workbookViewId="0">
      <selection activeCell="A4" sqref="A4"/>
    </sheetView>
  </sheetViews>
  <sheetFormatPr defaultRowHeight="13.2" x14ac:dyDescent="0.25"/>
  <sheetData>
    <row r="1" spans="1:1" x14ac:dyDescent="0.25">
      <c r="A1" s="63" t="s">
        <v>286</v>
      </c>
    </row>
    <row r="3" spans="1:1" x14ac:dyDescent="0.25">
      <c r="A3" t="s">
        <v>44</v>
      </c>
    </row>
    <row r="4" spans="1:1" x14ac:dyDescent="0.25">
      <c r="A4" t="s">
        <v>46</v>
      </c>
    </row>
    <row r="5" spans="1:1" x14ac:dyDescent="0.25">
      <c r="A5" t="s">
        <v>46</v>
      </c>
    </row>
    <row r="6" spans="1:1" x14ac:dyDescent="0.25">
      <c r="A6" t="s">
        <v>46</v>
      </c>
    </row>
    <row r="7" spans="1:1" x14ac:dyDescent="0.25">
      <c r="A7" t="s">
        <v>46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H408"/>
  <sheetViews>
    <sheetView tabSelected="1" topLeftCell="A371" zoomScale="47" zoomScaleNormal="71" workbookViewId="0">
      <selection activeCell="P276" sqref="P276"/>
    </sheetView>
  </sheetViews>
  <sheetFormatPr defaultColWidth="11.5546875" defaultRowHeight="13.2" x14ac:dyDescent="0.25"/>
  <cols>
    <col min="1" max="1" width="16.5546875" bestFit="1" customWidth="1"/>
    <col min="2" max="2" width="16.44140625" bestFit="1" customWidth="1"/>
    <col min="3" max="3" width="7.33203125" bestFit="1" customWidth="1"/>
    <col min="4" max="4" width="7.5546875" bestFit="1" customWidth="1"/>
    <col min="5" max="5" width="10.6640625" bestFit="1" customWidth="1"/>
  </cols>
  <sheetData>
    <row r="1" spans="1:4" x14ac:dyDescent="0.25">
      <c r="A1" s="14" t="s">
        <v>254</v>
      </c>
      <c r="B1" s="14" t="s">
        <v>257</v>
      </c>
      <c r="C1" s="12"/>
      <c r="D1" s="13"/>
    </row>
    <row r="2" spans="1:4" x14ac:dyDescent="0.25">
      <c r="A2" s="14" t="s">
        <v>253</v>
      </c>
      <c r="B2" s="11" t="s">
        <v>46</v>
      </c>
      <c r="C2" s="21" t="s">
        <v>44</v>
      </c>
      <c r="D2" s="15" t="s">
        <v>255</v>
      </c>
    </row>
    <row r="3" spans="1:4" x14ac:dyDescent="0.25">
      <c r="A3" s="16" t="s">
        <v>219</v>
      </c>
      <c r="B3" s="25">
        <v>3.2258064516129031E-2</v>
      </c>
      <c r="C3" s="26">
        <v>0</v>
      </c>
      <c r="D3" s="27">
        <v>3.2258064516129031E-2</v>
      </c>
    </row>
    <row r="4" spans="1:4" x14ac:dyDescent="0.25">
      <c r="A4" s="17" t="s">
        <v>96</v>
      </c>
      <c r="B4" s="28">
        <v>6.4516129032258063E-2</v>
      </c>
      <c r="C4" s="29">
        <v>0.16129032258064516</v>
      </c>
      <c r="D4" s="30">
        <v>0.22580645161290322</v>
      </c>
    </row>
    <row r="5" spans="1:4" x14ac:dyDescent="0.25">
      <c r="A5" s="17" t="s">
        <v>77</v>
      </c>
      <c r="B5" s="28">
        <v>0</v>
      </c>
      <c r="C5" s="29">
        <v>0.38709677419354838</v>
      </c>
      <c r="D5" s="30">
        <v>0.38709677419354838</v>
      </c>
    </row>
    <row r="6" spans="1:4" x14ac:dyDescent="0.25">
      <c r="A6" s="17" t="s">
        <v>56</v>
      </c>
      <c r="B6" s="28">
        <v>3.2258064516129031E-2</v>
      </c>
      <c r="C6" s="29">
        <v>0.12903225806451613</v>
      </c>
      <c r="D6" s="30">
        <v>0.16129032258064516</v>
      </c>
    </row>
    <row r="7" spans="1:4" x14ac:dyDescent="0.25">
      <c r="A7" s="17" t="s">
        <v>40</v>
      </c>
      <c r="B7" s="28">
        <v>0</v>
      </c>
      <c r="C7" s="29">
        <v>0.16129032258064516</v>
      </c>
      <c r="D7" s="30">
        <v>0.16129032258064516</v>
      </c>
    </row>
    <row r="8" spans="1:4" x14ac:dyDescent="0.25">
      <c r="A8" s="17" t="s">
        <v>214</v>
      </c>
      <c r="B8" s="28">
        <v>0</v>
      </c>
      <c r="C8" s="29">
        <v>3.2258064516129031E-2</v>
      </c>
      <c r="D8" s="30">
        <v>3.2258064516129031E-2</v>
      </c>
    </row>
    <row r="9" spans="1:4" x14ac:dyDescent="0.25">
      <c r="A9" s="19" t="s">
        <v>255</v>
      </c>
      <c r="B9" s="31">
        <v>0.12903225806451613</v>
      </c>
      <c r="C9" s="32">
        <v>0.87096774193548387</v>
      </c>
      <c r="D9" s="33">
        <v>1</v>
      </c>
    </row>
    <row r="20" spans="1:4" x14ac:dyDescent="0.25">
      <c r="A20" s="14" t="s">
        <v>259</v>
      </c>
      <c r="B20" s="14" t="s">
        <v>257</v>
      </c>
      <c r="C20" s="12"/>
      <c r="D20" s="13"/>
    </row>
    <row r="21" spans="1:4" x14ac:dyDescent="0.25">
      <c r="A21" s="14" t="s">
        <v>253</v>
      </c>
      <c r="B21" s="11" t="s">
        <v>46</v>
      </c>
      <c r="C21" s="21" t="s">
        <v>44</v>
      </c>
      <c r="D21" s="15" t="s">
        <v>255</v>
      </c>
    </row>
    <row r="22" spans="1:4" x14ac:dyDescent="0.25">
      <c r="A22" s="16" t="s">
        <v>57</v>
      </c>
      <c r="B22" s="25">
        <v>3.2258064516129031E-2</v>
      </c>
      <c r="C22" s="26">
        <v>0.61290322580645162</v>
      </c>
      <c r="D22" s="27">
        <v>0.64516129032258063</v>
      </c>
    </row>
    <row r="23" spans="1:4" x14ac:dyDescent="0.25">
      <c r="A23" s="17" t="s">
        <v>42</v>
      </c>
      <c r="B23" s="28">
        <v>6.4516129032258063E-2</v>
      </c>
      <c r="C23" s="29">
        <v>6.4516129032258063E-2</v>
      </c>
      <c r="D23" s="30">
        <v>0.12903225806451613</v>
      </c>
    </row>
    <row r="24" spans="1:4" x14ac:dyDescent="0.25">
      <c r="A24" s="17" t="s">
        <v>130</v>
      </c>
      <c r="B24" s="28">
        <v>3.2258064516129031E-2</v>
      </c>
      <c r="C24" s="29">
        <v>0.16129032258064516</v>
      </c>
      <c r="D24" s="30">
        <v>0.19354838709677419</v>
      </c>
    </row>
    <row r="25" spans="1:4" x14ac:dyDescent="0.25">
      <c r="A25" s="17" t="s">
        <v>174</v>
      </c>
      <c r="B25" s="28">
        <v>0</v>
      </c>
      <c r="C25" s="29">
        <v>3.2258064516129031E-2</v>
      </c>
      <c r="D25" s="30">
        <v>3.2258064516129031E-2</v>
      </c>
    </row>
    <row r="26" spans="1:4" x14ac:dyDescent="0.25">
      <c r="A26" s="19" t="s">
        <v>255</v>
      </c>
      <c r="B26" s="31">
        <v>0.12903225806451613</v>
      </c>
      <c r="C26" s="32">
        <v>0.87096774193548387</v>
      </c>
      <c r="D26" s="33">
        <v>1</v>
      </c>
    </row>
    <row r="38" spans="1:4" x14ac:dyDescent="0.25">
      <c r="A38" s="14" t="s">
        <v>260</v>
      </c>
      <c r="B38" s="14" t="s">
        <v>257</v>
      </c>
      <c r="C38" s="12"/>
      <c r="D38" s="13"/>
    </row>
    <row r="39" spans="1:4" x14ac:dyDescent="0.25">
      <c r="A39" s="14" t="s">
        <v>253</v>
      </c>
      <c r="B39" s="11" t="s">
        <v>46</v>
      </c>
      <c r="C39" s="21" t="s">
        <v>44</v>
      </c>
      <c r="D39" s="15" t="s">
        <v>255</v>
      </c>
    </row>
    <row r="40" spans="1:4" x14ac:dyDescent="0.25">
      <c r="A40" s="16" t="s">
        <v>41</v>
      </c>
      <c r="B40" s="25">
        <v>0.12903225806451613</v>
      </c>
      <c r="C40" s="26">
        <v>0.5161290322580645</v>
      </c>
      <c r="D40" s="27">
        <v>0.64516129032258063</v>
      </c>
    </row>
    <row r="41" spans="1:4" x14ac:dyDescent="0.25">
      <c r="A41" s="17" t="s">
        <v>142</v>
      </c>
      <c r="B41" s="28">
        <v>0</v>
      </c>
      <c r="C41" s="29">
        <v>0.35483870967741937</v>
      </c>
      <c r="D41" s="30">
        <v>0.35483870967741937</v>
      </c>
    </row>
    <row r="42" spans="1:4" x14ac:dyDescent="0.25">
      <c r="A42" s="19" t="s">
        <v>255</v>
      </c>
      <c r="B42" s="31">
        <v>0.12903225806451613</v>
      </c>
      <c r="C42" s="32">
        <v>0.87096774193548387</v>
      </c>
      <c r="D42" s="33">
        <v>1</v>
      </c>
    </row>
    <row r="56" spans="1:2" x14ac:dyDescent="0.25">
      <c r="A56" s="14" t="s">
        <v>253</v>
      </c>
      <c r="B56" s="15" t="s">
        <v>261</v>
      </c>
    </row>
    <row r="57" spans="1:2" x14ac:dyDescent="0.25">
      <c r="A57" s="16" t="s">
        <v>46</v>
      </c>
      <c r="B57" s="27">
        <v>0.45161290322580644</v>
      </c>
    </row>
    <row r="58" spans="1:2" x14ac:dyDescent="0.25">
      <c r="A58" s="17" t="s">
        <v>80</v>
      </c>
      <c r="B58" s="30">
        <v>0.54838709677419351</v>
      </c>
    </row>
    <row r="59" spans="1:2" x14ac:dyDescent="0.25">
      <c r="A59" s="19" t="s">
        <v>255</v>
      </c>
      <c r="B59" s="33">
        <v>1</v>
      </c>
    </row>
    <row r="74" spans="1:2" x14ac:dyDescent="0.25">
      <c r="A74" s="14" t="s">
        <v>253</v>
      </c>
      <c r="B74" s="15" t="s">
        <v>264</v>
      </c>
    </row>
    <row r="75" spans="1:2" x14ac:dyDescent="0.25">
      <c r="A75" s="16" t="s">
        <v>265</v>
      </c>
      <c r="B75" s="27">
        <v>0.12903225806451613</v>
      </c>
    </row>
    <row r="76" spans="1:2" x14ac:dyDescent="0.25">
      <c r="A76" s="17" t="s">
        <v>262</v>
      </c>
      <c r="B76" s="30">
        <v>0.54838709677419351</v>
      </c>
    </row>
    <row r="77" spans="1:2" x14ac:dyDescent="0.25">
      <c r="A77" s="17" t="s">
        <v>263</v>
      </c>
      <c r="B77" s="30">
        <v>0.32258064516129031</v>
      </c>
    </row>
    <row r="78" spans="1:2" x14ac:dyDescent="0.25">
      <c r="A78" s="19" t="s">
        <v>255</v>
      </c>
      <c r="B78" s="33">
        <v>1</v>
      </c>
    </row>
    <row r="92" spans="1:2" x14ac:dyDescent="0.25">
      <c r="A92" s="14" t="s">
        <v>253</v>
      </c>
      <c r="B92" s="15" t="s">
        <v>256</v>
      </c>
    </row>
    <row r="93" spans="1:2" x14ac:dyDescent="0.25">
      <c r="A93" s="16" t="s">
        <v>46</v>
      </c>
      <c r="B93" s="27">
        <v>0.12903225806451613</v>
      </c>
    </row>
    <row r="94" spans="1:2" x14ac:dyDescent="0.25">
      <c r="A94" s="17" t="s">
        <v>44</v>
      </c>
      <c r="B94" s="30">
        <v>0.87096774193548387</v>
      </c>
    </row>
    <row r="95" spans="1:2" x14ac:dyDescent="0.25">
      <c r="A95" s="19" t="s">
        <v>255</v>
      </c>
      <c r="B95" s="33">
        <v>1</v>
      </c>
    </row>
    <row r="110" spans="1:5" x14ac:dyDescent="0.25">
      <c r="A110" s="14" t="s">
        <v>266</v>
      </c>
      <c r="B110" s="14" t="s">
        <v>257</v>
      </c>
      <c r="C110" s="12"/>
      <c r="D110" s="12"/>
      <c r="E110" s="13"/>
    </row>
    <row r="111" spans="1:5" x14ac:dyDescent="0.25">
      <c r="A111" s="14" t="s">
        <v>253</v>
      </c>
      <c r="B111" s="11" t="s">
        <v>86</v>
      </c>
      <c r="C111" s="21" t="s">
        <v>76</v>
      </c>
      <c r="D111" s="21" t="s">
        <v>65</v>
      </c>
      <c r="E111" s="15" t="s">
        <v>255</v>
      </c>
    </row>
    <row r="112" spans="1:5" x14ac:dyDescent="0.25">
      <c r="A112" s="16" t="s">
        <v>46</v>
      </c>
      <c r="B112" s="25">
        <v>3.2258064516129031E-2</v>
      </c>
      <c r="C112" s="26">
        <v>3.2258064516129031E-2</v>
      </c>
      <c r="D112" s="26">
        <v>6.4516129032258063E-2</v>
      </c>
      <c r="E112" s="27">
        <v>0.12903225806451613</v>
      </c>
    </row>
    <row r="113" spans="1:5" x14ac:dyDescent="0.25">
      <c r="A113" s="17" t="s">
        <v>44</v>
      </c>
      <c r="B113" s="28">
        <v>0.22580645161290322</v>
      </c>
      <c r="C113" s="29">
        <v>0.12903225806451613</v>
      </c>
      <c r="D113" s="29">
        <v>0.5161290322580645</v>
      </c>
      <c r="E113" s="30">
        <v>0.87096774193548387</v>
      </c>
    </row>
    <row r="114" spans="1:5" x14ac:dyDescent="0.25">
      <c r="A114" s="19" t="s">
        <v>255</v>
      </c>
      <c r="B114" s="31">
        <v>0.25806451612903225</v>
      </c>
      <c r="C114" s="32">
        <v>0.16129032258064516</v>
      </c>
      <c r="D114" s="32">
        <v>0.58064516129032262</v>
      </c>
      <c r="E114" s="33">
        <v>1</v>
      </c>
    </row>
    <row r="129" spans="1:5" x14ac:dyDescent="0.25">
      <c r="A129" s="14" t="s">
        <v>266</v>
      </c>
      <c r="B129" s="14" t="s">
        <v>257</v>
      </c>
      <c r="C129" s="12"/>
      <c r="D129" s="12"/>
      <c r="E129" s="13"/>
    </row>
    <row r="130" spans="1:5" x14ac:dyDescent="0.25">
      <c r="A130" s="14" t="s">
        <v>253</v>
      </c>
      <c r="B130" s="11" t="s">
        <v>86</v>
      </c>
      <c r="C130" s="21" t="s">
        <v>76</v>
      </c>
      <c r="D130" s="21" t="s">
        <v>65</v>
      </c>
      <c r="E130" s="15" t="s">
        <v>255</v>
      </c>
    </row>
    <row r="131" spans="1:5" x14ac:dyDescent="0.25">
      <c r="A131" s="16" t="s">
        <v>46</v>
      </c>
      <c r="B131" s="25">
        <v>9.6774193548387094E-2</v>
      </c>
      <c r="C131" s="26">
        <v>9.6774193548387094E-2</v>
      </c>
      <c r="D131" s="26">
        <v>0.25806451612903225</v>
      </c>
      <c r="E131" s="27">
        <v>0.45161290322580644</v>
      </c>
    </row>
    <row r="132" spans="1:5" x14ac:dyDescent="0.25">
      <c r="A132" s="17" t="s">
        <v>44</v>
      </c>
      <c r="B132" s="28">
        <v>0.16129032258064516</v>
      </c>
      <c r="C132" s="29">
        <v>6.4516129032258063E-2</v>
      </c>
      <c r="D132" s="29">
        <v>0.32258064516129031</v>
      </c>
      <c r="E132" s="30">
        <v>0.54838709677419351</v>
      </c>
    </row>
    <row r="133" spans="1:5" x14ac:dyDescent="0.25">
      <c r="A133" s="19" t="s">
        <v>255</v>
      </c>
      <c r="B133" s="31">
        <v>0.25806451612903225</v>
      </c>
      <c r="C133" s="32">
        <v>0.16129032258064516</v>
      </c>
      <c r="D133" s="32">
        <v>0.58064516129032262</v>
      </c>
      <c r="E133" s="33">
        <v>1</v>
      </c>
    </row>
    <row r="148" spans="1:6" x14ac:dyDescent="0.25">
      <c r="A148" s="14" t="s">
        <v>267</v>
      </c>
      <c r="B148" s="14" t="s">
        <v>257</v>
      </c>
      <c r="C148" s="12"/>
      <c r="D148" s="12"/>
      <c r="E148" s="12"/>
      <c r="F148" s="13"/>
    </row>
    <row r="149" spans="1:6" x14ac:dyDescent="0.25">
      <c r="A149" s="14" t="s">
        <v>253</v>
      </c>
      <c r="B149" s="11" t="s">
        <v>79</v>
      </c>
      <c r="C149" s="21" t="s">
        <v>47</v>
      </c>
      <c r="D149" s="21" t="s">
        <v>155</v>
      </c>
      <c r="E149" s="21" t="s">
        <v>69</v>
      </c>
      <c r="F149" s="15" t="s">
        <v>255</v>
      </c>
    </row>
    <row r="150" spans="1:6" x14ac:dyDescent="0.25">
      <c r="A150" s="16" t="s">
        <v>57</v>
      </c>
      <c r="B150" s="25">
        <v>0.35483870967741937</v>
      </c>
      <c r="C150" s="26">
        <v>0.12903225806451613</v>
      </c>
      <c r="D150" s="26">
        <v>3.2258064516129031E-2</v>
      </c>
      <c r="E150" s="26">
        <v>0.12903225806451613</v>
      </c>
      <c r="F150" s="27">
        <v>0.64516129032258063</v>
      </c>
    </row>
    <row r="151" spans="1:6" x14ac:dyDescent="0.25">
      <c r="A151" s="17" t="s">
        <v>42</v>
      </c>
      <c r="B151" s="28">
        <v>0</v>
      </c>
      <c r="C151" s="29">
        <v>6.4516129032258063E-2</v>
      </c>
      <c r="D151" s="29">
        <v>0</v>
      </c>
      <c r="E151" s="29">
        <v>6.4516129032258063E-2</v>
      </c>
      <c r="F151" s="30">
        <v>0.12903225806451613</v>
      </c>
    </row>
    <row r="152" spans="1:6" x14ac:dyDescent="0.25">
      <c r="A152" s="17" t="s">
        <v>130</v>
      </c>
      <c r="B152" s="28">
        <v>0.12903225806451613</v>
      </c>
      <c r="C152" s="29">
        <v>0</v>
      </c>
      <c r="D152" s="29">
        <v>3.2258064516129031E-2</v>
      </c>
      <c r="E152" s="29">
        <v>3.2258064516129031E-2</v>
      </c>
      <c r="F152" s="30">
        <v>0.19354838709677419</v>
      </c>
    </row>
    <row r="153" spans="1:6" x14ac:dyDescent="0.25">
      <c r="A153" s="17" t="s">
        <v>174</v>
      </c>
      <c r="B153" s="28">
        <v>0</v>
      </c>
      <c r="C153" s="29">
        <v>0</v>
      </c>
      <c r="D153" s="29">
        <v>0</v>
      </c>
      <c r="E153" s="29">
        <v>3.2258064516129031E-2</v>
      </c>
      <c r="F153" s="30">
        <v>3.2258064516129031E-2</v>
      </c>
    </row>
    <row r="154" spans="1:6" x14ac:dyDescent="0.25">
      <c r="A154" s="19" t="s">
        <v>255</v>
      </c>
      <c r="B154" s="31">
        <v>0.4838709677419355</v>
      </c>
      <c r="C154" s="32">
        <v>0.19354838709677419</v>
      </c>
      <c r="D154" s="32">
        <v>6.4516129032258063E-2</v>
      </c>
      <c r="E154" s="32">
        <v>0.25806451612903225</v>
      </c>
      <c r="F154" s="33">
        <v>1</v>
      </c>
    </row>
    <row r="167" spans="1:6" x14ac:dyDescent="0.25">
      <c r="A167" s="14" t="s">
        <v>268</v>
      </c>
      <c r="B167" s="14" t="s">
        <v>257</v>
      </c>
      <c r="C167" s="12"/>
      <c r="D167" s="12"/>
      <c r="E167" s="12"/>
      <c r="F167" s="13"/>
    </row>
    <row r="168" spans="1:6" x14ac:dyDescent="0.25">
      <c r="A168" s="14" t="s">
        <v>253</v>
      </c>
      <c r="B168" s="11" t="s">
        <v>61</v>
      </c>
      <c r="C168" s="21" t="s">
        <v>48</v>
      </c>
      <c r="D168" s="21" t="s">
        <v>82</v>
      </c>
      <c r="E168" s="21" t="s">
        <v>99</v>
      </c>
      <c r="F168" s="15" t="s">
        <v>255</v>
      </c>
    </row>
    <row r="169" spans="1:6" x14ac:dyDescent="0.25">
      <c r="A169" s="16" t="s">
        <v>57</v>
      </c>
      <c r="B169" s="25">
        <v>0.35483870967741937</v>
      </c>
      <c r="C169" s="26">
        <v>3.2258064516129031E-2</v>
      </c>
      <c r="D169" s="26">
        <v>9.6774193548387094E-2</v>
      </c>
      <c r="E169" s="26">
        <v>0.16129032258064516</v>
      </c>
      <c r="F169" s="27">
        <v>0.64516129032258063</v>
      </c>
    </row>
    <row r="170" spans="1:6" x14ac:dyDescent="0.25">
      <c r="A170" s="17" t="s">
        <v>42</v>
      </c>
      <c r="B170" s="28">
        <v>6.4516129032258063E-2</v>
      </c>
      <c r="C170" s="29">
        <v>0</v>
      </c>
      <c r="D170" s="29">
        <v>0</v>
      </c>
      <c r="E170" s="29">
        <v>6.4516129032258063E-2</v>
      </c>
      <c r="F170" s="30">
        <v>0.12903225806451613</v>
      </c>
    </row>
    <row r="171" spans="1:6" x14ac:dyDescent="0.25">
      <c r="A171" s="17" t="s">
        <v>130</v>
      </c>
      <c r="B171" s="28">
        <v>0.12903225806451613</v>
      </c>
      <c r="C171" s="29">
        <v>0</v>
      </c>
      <c r="D171" s="29">
        <v>3.2258064516129031E-2</v>
      </c>
      <c r="E171" s="29">
        <v>3.2258064516129031E-2</v>
      </c>
      <c r="F171" s="30">
        <v>0.19354838709677419</v>
      </c>
    </row>
    <row r="172" spans="1:6" x14ac:dyDescent="0.25">
      <c r="A172" s="17" t="s">
        <v>174</v>
      </c>
      <c r="B172" s="28">
        <v>3.2258064516129031E-2</v>
      </c>
      <c r="C172" s="29">
        <v>0</v>
      </c>
      <c r="D172" s="29">
        <v>0</v>
      </c>
      <c r="E172" s="29">
        <v>0</v>
      </c>
      <c r="F172" s="30">
        <v>3.2258064516129031E-2</v>
      </c>
    </row>
    <row r="173" spans="1:6" x14ac:dyDescent="0.25">
      <c r="A173" s="19" t="s">
        <v>255</v>
      </c>
      <c r="B173" s="31">
        <v>0.58064516129032262</v>
      </c>
      <c r="C173" s="32">
        <v>3.2258064516129031E-2</v>
      </c>
      <c r="D173" s="32">
        <v>0.12903225806451613</v>
      </c>
      <c r="E173" s="32">
        <v>0.25806451612903225</v>
      </c>
      <c r="F173" s="33">
        <v>1</v>
      </c>
    </row>
    <row r="186" spans="1:2" x14ac:dyDescent="0.25">
      <c r="A186" s="14" t="s">
        <v>253</v>
      </c>
      <c r="B186" s="15" t="s">
        <v>261</v>
      </c>
    </row>
    <row r="187" spans="1:2" x14ac:dyDescent="0.25">
      <c r="A187" s="16" t="s">
        <v>46</v>
      </c>
      <c r="B187" s="27">
        <v>0.80645161290322576</v>
      </c>
    </row>
    <row r="188" spans="1:2" x14ac:dyDescent="0.25">
      <c r="A188" s="17" t="s">
        <v>44</v>
      </c>
      <c r="B188" s="30">
        <v>0.19354838709677419</v>
      </c>
    </row>
    <row r="189" spans="1:2" x14ac:dyDescent="0.25">
      <c r="A189" s="19" t="s">
        <v>255</v>
      </c>
      <c r="B189" s="33">
        <v>1</v>
      </c>
    </row>
    <row r="207" spans="1:4" x14ac:dyDescent="0.25">
      <c r="A207" s="14" t="s">
        <v>259</v>
      </c>
      <c r="B207" s="14" t="s">
        <v>257</v>
      </c>
      <c r="C207" s="12"/>
      <c r="D207" s="13"/>
    </row>
    <row r="208" spans="1:4" x14ac:dyDescent="0.25">
      <c r="A208" s="14" t="s">
        <v>253</v>
      </c>
      <c r="B208" s="11" t="s">
        <v>46</v>
      </c>
      <c r="C208" s="21" t="s">
        <v>179</v>
      </c>
      <c r="D208" s="15" t="s">
        <v>255</v>
      </c>
    </row>
    <row r="209" spans="1:4" x14ac:dyDescent="0.25">
      <c r="A209" s="16" t="s">
        <v>57</v>
      </c>
      <c r="B209" s="25">
        <v>0.64516129032258063</v>
      </c>
      <c r="C209" s="26">
        <v>0</v>
      </c>
      <c r="D209" s="27">
        <v>0.64516129032258063</v>
      </c>
    </row>
    <row r="210" spans="1:4" x14ac:dyDescent="0.25">
      <c r="A210" s="17" t="s">
        <v>42</v>
      </c>
      <c r="B210" s="28">
        <v>0.12903225806451613</v>
      </c>
      <c r="C210" s="29">
        <v>0</v>
      </c>
      <c r="D210" s="30">
        <v>0.12903225806451613</v>
      </c>
    </row>
    <row r="211" spans="1:4" x14ac:dyDescent="0.25">
      <c r="A211" s="17" t="s">
        <v>130</v>
      </c>
      <c r="B211" s="28">
        <v>0.19354838709677419</v>
      </c>
      <c r="C211" s="29">
        <v>0</v>
      </c>
      <c r="D211" s="30">
        <v>0.19354838709677419</v>
      </c>
    </row>
    <row r="212" spans="1:4" x14ac:dyDescent="0.25">
      <c r="A212" s="17" t="s">
        <v>174</v>
      </c>
      <c r="B212" s="28">
        <v>0</v>
      </c>
      <c r="C212" s="29">
        <v>3.2258064516129031E-2</v>
      </c>
      <c r="D212" s="30">
        <v>3.2258064516129031E-2</v>
      </c>
    </row>
    <row r="213" spans="1:4" x14ac:dyDescent="0.25">
      <c r="A213" s="19" t="s">
        <v>255</v>
      </c>
      <c r="B213" s="31">
        <v>0.967741935483871</v>
      </c>
      <c r="C213" s="32">
        <v>3.2258064516129031E-2</v>
      </c>
      <c r="D213" s="33">
        <v>1</v>
      </c>
    </row>
    <row r="228" spans="1:4" x14ac:dyDescent="0.25">
      <c r="A228" s="14" t="s">
        <v>259</v>
      </c>
      <c r="B228" s="14" t="s">
        <v>257</v>
      </c>
      <c r="C228" s="12"/>
      <c r="D228" s="13"/>
    </row>
    <row r="229" spans="1:4" x14ac:dyDescent="0.25">
      <c r="A229" s="14" t="s">
        <v>253</v>
      </c>
      <c r="B229" s="11" t="s">
        <v>46</v>
      </c>
      <c r="C229" s="21" t="s">
        <v>44</v>
      </c>
      <c r="D229" s="15" t="s">
        <v>255</v>
      </c>
    </row>
    <row r="230" spans="1:4" x14ac:dyDescent="0.25">
      <c r="A230" s="16" t="s">
        <v>57</v>
      </c>
      <c r="B230" s="25">
        <v>0.38709677419354838</v>
      </c>
      <c r="C230" s="26">
        <v>0.25806451612903225</v>
      </c>
      <c r="D230" s="27">
        <v>0.64516129032258063</v>
      </c>
    </row>
    <row r="231" spans="1:4" x14ac:dyDescent="0.25">
      <c r="A231" s="17" t="s">
        <v>42</v>
      </c>
      <c r="B231" s="28">
        <v>6.4516129032258063E-2</v>
      </c>
      <c r="C231" s="29">
        <v>6.4516129032258063E-2</v>
      </c>
      <c r="D231" s="30">
        <v>0.12903225806451613</v>
      </c>
    </row>
    <row r="232" spans="1:4" x14ac:dyDescent="0.25">
      <c r="A232" s="17" t="s">
        <v>130</v>
      </c>
      <c r="B232" s="28">
        <v>9.6774193548387094E-2</v>
      </c>
      <c r="C232" s="29">
        <v>9.6774193548387094E-2</v>
      </c>
      <c r="D232" s="30">
        <v>0.19354838709677419</v>
      </c>
    </row>
    <row r="233" spans="1:4" x14ac:dyDescent="0.25">
      <c r="A233" s="17" t="s">
        <v>174</v>
      </c>
      <c r="B233" s="28">
        <v>3.2258064516129031E-2</v>
      </c>
      <c r="C233" s="29">
        <v>0</v>
      </c>
      <c r="D233" s="30">
        <v>3.2258064516129031E-2</v>
      </c>
    </row>
    <row r="234" spans="1:4" x14ac:dyDescent="0.25">
      <c r="A234" s="19" t="s">
        <v>255</v>
      </c>
      <c r="B234" s="31">
        <v>0.58064516129032262</v>
      </c>
      <c r="C234" s="32">
        <v>0.41935483870967744</v>
      </c>
      <c r="D234" s="33">
        <v>1</v>
      </c>
    </row>
    <row r="247" spans="1:8" ht="28.2" customHeight="1" x14ac:dyDescent="0.35">
      <c r="A247" s="67"/>
      <c r="B247" s="67"/>
      <c r="C247" s="67"/>
      <c r="D247" s="67"/>
      <c r="E247" s="67"/>
      <c r="F247" s="68"/>
      <c r="G247" s="68"/>
      <c r="H247" s="68"/>
    </row>
    <row r="248" spans="1:8" x14ac:dyDescent="0.25">
      <c r="A248" s="69"/>
      <c r="B248" s="69"/>
      <c r="C248" s="69"/>
      <c r="D248" s="69"/>
      <c r="E248" s="69"/>
      <c r="F248" s="68"/>
      <c r="G248" s="68"/>
      <c r="H248" s="68"/>
    </row>
    <row r="249" spans="1:8" x14ac:dyDescent="0.25">
      <c r="A249" s="70"/>
      <c r="B249" s="70"/>
      <c r="C249" s="70"/>
      <c r="D249" s="70"/>
      <c r="E249" s="70"/>
      <c r="F249" s="68"/>
      <c r="G249" s="68"/>
      <c r="H249" s="68"/>
    </row>
    <row r="250" spans="1:8" x14ac:dyDescent="0.25">
      <c r="A250" s="70"/>
      <c r="B250" s="70"/>
      <c r="C250" s="70"/>
      <c r="D250" s="70"/>
      <c r="E250" s="70"/>
      <c r="F250" s="68"/>
      <c r="G250" s="68"/>
      <c r="H250" s="68"/>
    </row>
    <row r="251" spans="1:8" x14ac:dyDescent="0.25">
      <c r="A251" s="70"/>
      <c r="B251" s="70"/>
      <c r="C251" s="70"/>
      <c r="D251" s="70"/>
      <c r="E251" s="70"/>
      <c r="F251" s="68"/>
      <c r="G251" s="68"/>
      <c r="H251" s="68"/>
    </row>
    <row r="252" spans="1:8" x14ac:dyDescent="0.25">
      <c r="A252" s="70"/>
      <c r="B252" s="70"/>
      <c r="C252" s="70"/>
      <c r="D252" s="70"/>
      <c r="E252" s="70"/>
      <c r="F252" s="68"/>
      <c r="G252" s="68"/>
      <c r="H252" s="68"/>
    </row>
    <row r="253" spans="1:8" x14ac:dyDescent="0.25">
      <c r="A253" s="71"/>
      <c r="B253" s="71"/>
      <c r="C253" s="71"/>
      <c r="D253" s="71"/>
      <c r="E253" s="72"/>
      <c r="F253" s="68"/>
      <c r="G253" s="68"/>
      <c r="H253" s="68"/>
    </row>
    <row r="254" spans="1:8" x14ac:dyDescent="0.25">
      <c r="A254" s="68"/>
      <c r="B254" s="68"/>
      <c r="C254" s="68"/>
      <c r="D254" s="68"/>
      <c r="E254" s="68"/>
      <c r="F254" s="68"/>
      <c r="G254" s="68"/>
      <c r="H254" s="68"/>
    </row>
    <row r="255" spans="1:8" ht="22.8" customHeight="1" x14ac:dyDescent="0.25">
      <c r="A255" s="68"/>
      <c r="B255" s="68"/>
      <c r="C255" s="68"/>
      <c r="D255" s="68"/>
      <c r="E255" s="68"/>
      <c r="F255" s="68"/>
      <c r="G255" s="68"/>
      <c r="H255" s="68"/>
    </row>
    <row r="256" spans="1:8" ht="26.4" customHeight="1" x14ac:dyDescent="0.35">
      <c r="A256" s="67"/>
      <c r="B256" s="67"/>
      <c r="C256" s="67"/>
      <c r="D256" s="67"/>
      <c r="E256" s="67"/>
      <c r="F256" s="67"/>
      <c r="G256" s="67"/>
      <c r="H256" s="67"/>
    </row>
    <row r="257" spans="1:8" x14ac:dyDescent="0.25">
      <c r="A257" s="69"/>
      <c r="B257" s="69"/>
      <c r="C257" s="69"/>
      <c r="D257" s="69"/>
      <c r="E257" s="69"/>
      <c r="F257" s="69"/>
      <c r="G257" s="69"/>
      <c r="H257" s="69"/>
    </row>
    <row r="258" spans="1:8" x14ac:dyDescent="0.25">
      <c r="A258" s="71"/>
      <c r="B258" s="70"/>
      <c r="C258" s="70"/>
      <c r="D258" s="70"/>
      <c r="E258" s="70"/>
      <c r="F258" s="70"/>
      <c r="G258" s="70"/>
      <c r="H258" s="70"/>
    </row>
    <row r="259" spans="1:8" x14ac:dyDescent="0.25">
      <c r="A259" s="71"/>
      <c r="B259" s="70"/>
      <c r="C259" s="70"/>
      <c r="D259" s="70"/>
      <c r="E259" s="70"/>
      <c r="F259" s="70"/>
      <c r="G259" s="70"/>
      <c r="H259" s="70"/>
    </row>
    <row r="260" spans="1:8" x14ac:dyDescent="0.25">
      <c r="A260" s="71"/>
      <c r="B260" s="70"/>
      <c r="C260" s="70"/>
      <c r="D260" s="70"/>
      <c r="E260" s="70"/>
      <c r="F260" s="70"/>
      <c r="G260" s="70"/>
      <c r="H260" s="70"/>
    </row>
    <row r="261" spans="1:8" x14ac:dyDescent="0.25">
      <c r="A261" s="71"/>
      <c r="B261" s="70"/>
      <c r="C261" s="70"/>
      <c r="D261" s="70"/>
      <c r="E261" s="70"/>
      <c r="F261" s="70"/>
      <c r="G261" s="70"/>
      <c r="H261" s="70"/>
    </row>
    <row r="262" spans="1:8" x14ac:dyDescent="0.25">
      <c r="A262" s="71"/>
      <c r="B262" s="70"/>
      <c r="C262" s="70"/>
      <c r="D262" s="70"/>
      <c r="E262" s="70"/>
      <c r="F262" s="70"/>
      <c r="G262" s="70"/>
      <c r="H262" s="70"/>
    </row>
    <row r="263" spans="1:8" x14ac:dyDescent="0.25">
      <c r="A263" s="71"/>
      <c r="B263" s="70"/>
      <c r="C263" s="70"/>
      <c r="D263" s="70"/>
      <c r="E263" s="70"/>
      <c r="F263" s="70"/>
      <c r="G263" s="70"/>
      <c r="H263" s="70"/>
    </row>
    <row r="264" spans="1:8" x14ac:dyDescent="0.25">
      <c r="A264" s="71"/>
      <c r="B264" s="71"/>
      <c r="C264" s="71"/>
      <c r="D264" s="71"/>
      <c r="E264" s="71"/>
      <c r="F264" s="71"/>
      <c r="G264" s="71"/>
      <c r="H264" s="71"/>
    </row>
    <row r="265" spans="1:8" x14ac:dyDescent="0.25">
      <c r="A265" s="68"/>
      <c r="B265" s="68"/>
      <c r="C265" s="68"/>
      <c r="D265" s="68"/>
      <c r="E265" s="68"/>
      <c r="F265" s="68"/>
      <c r="G265" s="68"/>
      <c r="H265" s="68"/>
    </row>
    <row r="266" spans="1:8" x14ac:dyDescent="0.25">
      <c r="A266" s="68"/>
      <c r="B266" s="68"/>
      <c r="C266" s="68"/>
      <c r="D266" s="68"/>
      <c r="E266" s="68"/>
      <c r="F266" s="68"/>
      <c r="G266" s="68"/>
      <c r="H266" s="68"/>
    </row>
    <row r="267" spans="1:8" ht="26.4" customHeight="1" x14ac:dyDescent="0.3">
      <c r="A267" s="73"/>
      <c r="B267" s="74"/>
      <c r="C267" s="74"/>
      <c r="D267" s="74"/>
      <c r="E267" s="74"/>
      <c r="F267" s="68"/>
      <c r="G267" s="68"/>
      <c r="H267" s="68"/>
    </row>
    <row r="268" spans="1:8" x14ac:dyDescent="0.25">
      <c r="A268" s="75"/>
      <c r="B268" s="75"/>
      <c r="C268" s="75"/>
      <c r="D268" s="75"/>
      <c r="E268" s="75"/>
      <c r="F268" s="68"/>
      <c r="G268" s="68"/>
      <c r="H268" s="68"/>
    </row>
    <row r="269" spans="1:8" x14ac:dyDescent="0.25">
      <c r="A269" s="76"/>
      <c r="B269" s="76"/>
      <c r="C269" s="76"/>
      <c r="D269" s="76"/>
      <c r="E269" s="76"/>
      <c r="F269" s="68"/>
      <c r="G269" s="68"/>
      <c r="H269" s="68"/>
    </row>
    <row r="270" spans="1:8" x14ac:dyDescent="0.25">
      <c r="A270" s="76"/>
      <c r="B270" s="76"/>
      <c r="C270" s="76"/>
      <c r="D270" s="76"/>
      <c r="E270" s="76"/>
      <c r="F270" s="68"/>
      <c r="G270" s="68"/>
      <c r="H270" s="68"/>
    </row>
    <row r="271" spans="1:8" x14ac:dyDescent="0.25">
      <c r="A271" s="76"/>
      <c r="B271" s="76"/>
      <c r="C271" s="76"/>
      <c r="D271" s="76"/>
      <c r="E271" s="76"/>
      <c r="F271" s="68"/>
      <c r="G271" s="68"/>
      <c r="H271" s="68"/>
    </row>
    <row r="272" spans="1:8" x14ac:dyDescent="0.25">
      <c r="A272" s="77"/>
      <c r="B272" s="77"/>
      <c r="C272" s="77"/>
      <c r="D272" s="77"/>
      <c r="E272" s="77"/>
      <c r="F272" s="68"/>
      <c r="G272" s="68"/>
      <c r="H272" s="68"/>
    </row>
    <row r="275" spans="1:2" x14ac:dyDescent="0.25">
      <c r="A275" s="14" t="s">
        <v>253</v>
      </c>
      <c r="B275" s="15" t="s">
        <v>281</v>
      </c>
    </row>
    <row r="276" spans="1:2" x14ac:dyDescent="0.25">
      <c r="A276" s="16" t="s">
        <v>86</v>
      </c>
      <c r="B276" s="27">
        <v>0.25806451612903225</v>
      </c>
    </row>
    <row r="277" spans="1:2" x14ac:dyDescent="0.25">
      <c r="A277" s="17" t="s">
        <v>76</v>
      </c>
      <c r="B277" s="30">
        <v>0.16129032258064516</v>
      </c>
    </row>
    <row r="278" spans="1:2" x14ac:dyDescent="0.25">
      <c r="A278" s="17" t="s">
        <v>65</v>
      </c>
      <c r="B278" s="30">
        <v>0.58064516129032262</v>
      </c>
    </row>
    <row r="279" spans="1:2" x14ac:dyDescent="0.25">
      <c r="A279" s="19" t="s">
        <v>255</v>
      </c>
      <c r="B279" s="33">
        <v>1</v>
      </c>
    </row>
    <row r="294" spans="1:2" x14ac:dyDescent="0.25">
      <c r="A294" s="14" t="s">
        <v>253</v>
      </c>
      <c r="B294" s="15" t="s">
        <v>280</v>
      </c>
    </row>
    <row r="295" spans="1:2" x14ac:dyDescent="0.25">
      <c r="A295" s="16" t="s">
        <v>128</v>
      </c>
      <c r="B295" s="27">
        <v>9.6774193548387094E-2</v>
      </c>
    </row>
    <row r="296" spans="1:2" x14ac:dyDescent="0.25">
      <c r="A296" s="17" t="s">
        <v>38</v>
      </c>
      <c r="B296" s="30">
        <v>0.90322580645161288</v>
      </c>
    </row>
    <row r="297" spans="1:2" x14ac:dyDescent="0.25">
      <c r="A297" s="19" t="s">
        <v>255</v>
      </c>
      <c r="B297" s="33">
        <v>1</v>
      </c>
    </row>
    <row r="314" spans="1:2" x14ac:dyDescent="0.25">
      <c r="A314" s="14" t="s">
        <v>253</v>
      </c>
      <c r="B314" s="15" t="s">
        <v>279</v>
      </c>
    </row>
    <row r="315" spans="1:2" x14ac:dyDescent="0.25">
      <c r="A315" s="16" t="s">
        <v>129</v>
      </c>
      <c r="B315" s="27">
        <v>0.12903225806451613</v>
      </c>
    </row>
    <row r="316" spans="1:2" x14ac:dyDescent="0.25">
      <c r="A316" s="17" t="s">
        <v>161</v>
      </c>
      <c r="B316" s="30">
        <v>0.12903225806451613</v>
      </c>
    </row>
    <row r="317" spans="1:2" x14ac:dyDescent="0.25">
      <c r="A317" s="17" t="s">
        <v>66</v>
      </c>
      <c r="B317" s="30">
        <v>3.2258064516129031E-2</v>
      </c>
    </row>
    <row r="318" spans="1:2" x14ac:dyDescent="0.25">
      <c r="A318" s="17" t="s">
        <v>55</v>
      </c>
      <c r="B318" s="30">
        <v>6.4516129032258063E-2</v>
      </c>
    </row>
    <row r="319" spans="1:2" x14ac:dyDescent="0.25">
      <c r="A319" s="17" t="s">
        <v>107</v>
      </c>
      <c r="B319" s="30">
        <v>0.19354838709677419</v>
      </c>
    </row>
    <row r="320" spans="1:2" x14ac:dyDescent="0.25">
      <c r="A320" s="17" t="s">
        <v>39</v>
      </c>
      <c r="B320" s="30">
        <v>0.22580645161290322</v>
      </c>
    </row>
    <row r="321" spans="1:2" x14ac:dyDescent="0.25">
      <c r="A321" s="17" t="s">
        <v>87</v>
      </c>
      <c r="B321" s="30">
        <v>0.16129032258064516</v>
      </c>
    </row>
    <row r="322" spans="1:2" x14ac:dyDescent="0.25">
      <c r="A322" s="17" t="s">
        <v>213</v>
      </c>
      <c r="B322" s="30">
        <v>6.4516129032258063E-2</v>
      </c>
    </row>
    <row r="323" spans="1:2" x14ac:dyDescent="0.25">
      <c r="A323" s="19" t="s">
        <v>255</v>
      </c>
      <c r="B323" s="33">
        <v>1</v>
      </c>
    </row>
    <row r="333" spans="1:2" x14ac:dyDescent="0.25">
      <c r="A333" s="14" t="s">
        <v>253</v>
      </c>
      <c r="B333" s="15" t="s">
        <v>280</v>
      </c>
    </row>
    <row r="334" spans="1:2" x14ac:dyDescent="0.25">
      <c r="A334" s="16" t="s">
        <v>41</v>
      </c>
      <c r="B334" s="27">
        <v>0.64516129032258063</v>
      </c>
    </row>
    <row r="335" spans="1:2" x14ac:dyDescent="0.25">
      <c r="A335" s="17" t="s">
        <v>142</v>
      </c>
      <c r="B335" s="30">
        <v>0.35483870967741937</v>
      </c>
    </row>
    <row r="336" spans="1:2" x14ac:dyDescent="0.25">
      <c r="A336" s="19" t="s">
        <v>255</v>
      </c>
      <c r="B336" s="33">
        <v>1</v>
      </c>
    </row>
    <row r="353" spans="1:2" x14ac:dyDescent="0.25">
      <c r="A353" s="14" t="s">
        <v>253</v>
      </c>
      <c r="B353" s="15" t="s">
        <v>279</v>
      </c>
    </row>
    <row r="354" spans="1:2" x14ac:dyDescent="0.25">
      <c r="A354" s="16" t="s">
        <v>57</v>
      </c>
      <c r="B354" s="27">
        <v>0.64516129032258063</v>
      </c>
    </row>
    <row r="355" spans="1:2" x14ac:dyDescent="0.25">
      <c r="A355" s="17" t="s">
        <v>42</v>
      </c>
      <c r="B355" s="30">
        <v>0.12903225806451613</v>
      </c>
    </row>
    <row r="356" spans="1:2" x14ac:dyDescent="0.25">
      <c r="A356" s="17" t="s">
        <v>130</v>
      </c>
      <c r="B356" s="30">
        <v>0.19354838709677419</v>
      </c>
    </row>
    <row r="357" spans="1:2" x14ac:dyDescent="0.25">
      <c r="A357" s="17" t="s">
        <v>174</v>
      </c>
      <c r="B357" s="30">
        <v>3.2258064516129031E-2</v>
      </c>
    </row>
    <row r="358" spans="1:2" x14ac:dyDescent="0.25">
      <c r="A358" s="19" t="s">
        <v>255</v>
      </c>
      <c r="B358" s="33">
        <v>1</v>
      </c>
    </row>
    <row r="375" spans="1:5" ht="41.4" x14ac:dyDescent="0.25">
      <c r="A375" s="64"/>
      <c r="B375" s="64" t="s">
        <v>288</v>
      </c>
      <c r="C375" s="64" t="s">
        <v>289</v>
      </c>
      <c r="D375" s="64" t="s">
        <v>290</v>
      </c>
      <c r="E375" s="64" t="s">
        <v>255</v>
      </c>
    </row>
    <row r="376" spans="1:5" ht="13.8" x14ac:dyDescent="0.25">
      <c r="A376" s="65" t="s">
        <v>291</v>
      </c>
      <c r="B376" s="66">
        <v>0.38700000000000001</v>
      </c>
      <c r="C376" s="66">
        <v>0.80600000000000005</v>
      </c>
      <c r="D376" s="66">
        <v>0.83899999999999997</v>
      </c>
      <c r="E376" s="66">
        <v>0.67700000000000005</v>
      </c>
    </row>
    <row r="377" spans="1:5" ht="13.8" x14ac:dyDescent="0.25">
      <c r="A377" s="65" t="s">
        <v>292</v>
      </c>
      <c r="B377" s="66">
        <v>0.45200000000000001</v>
      </c>
      <c r="C377" s="66">
        <v>0.129</v>
      </c>
      <c r="D377" s="66">
        <v>9.7000000000000003E-2</v>
      </c>
      <c r="E377" s="66">
        <v>0.22600000000000001</v>
      </c>
    </row>
    <row r="378" spans="1:5" ht="27.6" x14ac:dyDescent="0.25">
      <c r="A378" s="65" t="s">
        <v>293</v>
      </c>
      <c r="B378" s="66">
        <v>0.161</v>
      </c>
      <c r="C378" s="66">
        <v>6.5000000000000002E-2</v>
      </c>
      <c r="D378" s="66">
        <v>6.5000000000000002E-2</v>
      </c>
      <c r="E378" s="66">
        <v>9.7000000000000003E-2</v>
      </c>
    </row>
    <row r="399" spans="1:5" ht="39.6" x14ac:dyDescent="0.25">
      <c r="A399" s="40"/>
      <c r="B399" s="40" t="s">
        <v>76</v>
      </c>
      <c r="C399" s="40" t="s">
        <v>65</v>
      </c>
      <c r="D399" s="40" t="s">
        <v>153</v>
      </c>
      <c r="E399" s="40" t="s">
        <v>255</v>
      </c>
    </row>
    <row r="400" spans="1:5" ht="26.4" x14ac:dyDescent="0.25">
      <c r="A400" s="41" t="s">
        <v>294</v>
      </c>
      <c r="B400" s="66">
        <v>0.28599999999999998</v>
      </c>
      <c r="C400" s="66">
        <v>0.38900000000000001</v>
      </c>
      <c r="D400" s="66">
        <v>0.222</v>
      </c>
      <c r="E400" s="66">
        <v>0.33300000000000002</v>
      </c>
    </row>
    <row r="401" spans="1:5" ht="26.4" x14ac:dyDescent="0.25">
      <c r="A401" s="41" t="s">
        <v>295</v>
      </c>
      <c r="B401" s="66">
        <v>0.57099999999999995</v>
      </c>
      <c r="C401" s="66">
        <v>0.5</v>
      </c>
      <c r="D401" s="66">
        <v>0.66700000000000004</v>
      </c>
      <c r="E401" s="66">
        <v>0.57799999999999996</v>
      </c>
    </row>
    <row r="402" spans="1:5" ht="26.4" x14ac:dyDescent="0.25">
      <c r="A402" s="41" t="s">
        <v>296</v>
      </c>
      <c r="B402" s="66">
        <v>0.14299999999999999</v>
      </c>
      <c r="C402" s="66">
        <v>0.111</v>
      </c>
      <c r="D402" s="66">
        <v>0.111</v>
      </c>
      <c r="E402" s="66">
        <v>8.8999999999999996E-2</v>
      </c>
    </row>
    <row r="403" spans="1:5" ht="26.4" x14ac:dyDescent="0.25">
      <c r="A403" s="41" t="s">
        <v>297</v>
      </c>
      <c r="B403" s="66">
        <v>1</v>
      </c>
      <c r="C403" s="66">
        <v>0.83299999999999996</v>
      </c>
      <c r="D403" s="66">
        <v>0.77800000000000002</v>
      </c>
      <c r="E403" s="66">
        <v>0.87</v>
      </c>
    </row>
    <row r="404" spans="1:5" ht="26.4" x14ac:dyDescent="0.25">
      <c r="A404" s="41" t="s">
        <v>298</v>
      </c>
      <c r="B404" s="66">
        <v>0</v>
      </c>
      <c r="C404" s="66">
        <v>0.111</v>
      </c>
      <c r="D404" s="66">
        <v>0.222</v>
      </c>
      <c r="E404" s="66">
        <v>0.109</v>
      </c>
    </row>
    <row r="405" spans="1:5" ht="26.4" x14ac:dyDescent="0.25">
      <c r="A405" s="41" t="s">
        <v>299</v>
      </c>
      <c r="B405" s="66">
        <v>0</v>
      </c>
      <c r="C405" s="66">
        <v>5.6000000000000001E-2</v>
      </c>
      <c r="D405" s="66">
        <v>0</v>
      </c>
      <c r="E405" s="66">
        <v>2.1000000000000001E-2</v>
      </c>
    </row>
    <row r="406" spans="1:5" ht="26.4" x14ac:dyDescent="0.25">
      <c r="A406" s="41" t="s">
        <v>300</v>
      </c>
      <c r="B406" s="66">
        <v>1</v>
      </c>
      <c r="C406" s="66">
        <v>0.83299999999999996</v>
      </c>
      <c r="D406" s="66">
        <v>0.88900000000000001</v>
      </c>
      <c r="E406" s="66">
        <v>0.89100000000000001</v>
      </c>
    </row>
    <row r="407" spans="1:5" ht="26.4" x14ac:dyDescent="0.25">
      <c r="A407" s="41" t="s">
        <v>301</v>
      </c>
      <c r="B407" s="66">
        <v>0</v>
      </c>
      <c r="C407" s="66">
        <v>5.6000000000000001E-2</v>
      </c>
      <c r="D407" s="66">
        <v>0</v>
      </c>
      <c r="E407" s="66">
        <v>1.9E-2</v>
      </c>
    </row>
    <row r="408" spans="1:5" ht="26.4" x14ac:dyDescent="0.25">
      <c r="A408" s="41" t="s">
        <v>302</v>
      </c>
      <c r="B408" s="66">
        <v>0</v>
      </c>
      <c r="C408" s="66">
        <v>0.111</v>
      </c>
      <c r="D408" s="66">
        <v>0.111</v>
      </c>
      <c r="E408" s="66">
        <v>0.09</v>
      </c>
    </row>
  </sheetData>
  <mergeCells count="3">
    <mergeCell ref="A256:H256"/>
    <mergeCell ref="A247:E247"/>
    <mergeCell ref="A267:E267"/>
  </mergeCells>
  <pageMargins left="0.7" right="0.7" top="0.75" bottom="0.75" header="0.3" footer="0.3"/>
  <pageSetup orientation="portrait" r:id="rId19"/>
  <drawing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Form Responses 1</vt:lpstr>
      <vt:lpstr>Hoja7</vt:lpstr>
      <vt:lpstr>Hoja2</vt:lpstr>
      <vt:lpstr>Hoja1</vt:lpstr>
      <vt:lpstr>Detail1</vt:lpstr>
      <vt:lpstr>Detail2</vt:lpstr>
      <vt:lpstr>Graficas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Vanessa Araujo</cp:lastModifiedBy>
  <dcterms:modified xsi:type="dcterms:W3CDTF">2025-10-30T00:20:24Z</dcterms:modified>
</cp:coreProperties>
</file>